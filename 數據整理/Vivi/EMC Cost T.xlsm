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6900" yWindow="130" windowWidth="14810" windowHeight="8010" tabRatio="908" activeTab="9"/>
  </bookViews>
  <sheets>
    <sheet name="MCI Machine List" sheetId="5" r:id="rId1"/>
    <sheet name="EMC Design Data Base" sheetId="1" r:id="rId2"/>
    <sheet name="Material Price &amp; Design Data" sheetId="9" r:id="rId3"/>
    <sheet name="Yield" sheetId="12" r:id="rId4"/>
    <sheet name="EFF'CY" sheetId="29" r:id="rId5"/>
    <sheet name="MC Speed" sheetId="30" r:id="rId6"/>
    <sheet name="MM Ratio" sheetId="33" r:id="rId7"/>
    <sheet name="Material Consum" sheetId="31" r:id="rId8"/>
    <sheet name="MRF" sheetId="32" r:id="rId9"/>
    <sheet name="TD" sheetId="10" r:id="rId10"/>
    <sheet name="TC" sheetId="11" r:id="rId11"/>
    <sheet name="製帶" sheetId="13" r:id="rId12"/>
    <sheet name="打孔" sheetId="14" r:id="rId13"/>
    <sheet name="印刷" sheetId="15" r:id="rId14"/>
    <sheet name="疊壓" sheetId="16" r:id="rId15"/>
    <sheet name="水壓" sheetId="17" r:id="rId16"/>
    <sheet name="切割" sheetId="18" r:id="rId17"/>
    <sheet name="預熱" sheetId="19" r:id="rId18"/>
    <sheet name="燒結" sheetId="20" r:id="rId19"/>
    <sheet name="研磨" sheetId="21" r:id="rId20"/>
    <sheet name="塗銀" sheetId="22" r:id="rId21"/>
    <sheet name="燒銀" sheetId="23" r:id="rId22"/>
    <sheet name="電鍍" sheetId="24" r:id="rId23"/>
    <sheet name="選別" sheetId="25" r:id="rId24"/>
    <sheet name="外觀" sheetId="26" r:id="rId25"/>
    <sheet name="矽油" sheetId="27" r:id="rId26"/>
    <sheet name="包裝" sheetId="28" r:id="rId27"/>
  </sheets>
  <externalReferences>
    <externalReference r:id="rId28"/>
  </externalReferences>
  <definedNames>
    <definedName name="_xlnm.Recorder">#REF!</definedName>
  </definedNames>
  <calcPr calcId="145621"/>
</workbook>
</file>

<file path=xl/calcChain.xml><?xml version="1.0" encoding="utf-8"?>
<calcChain xmlns="http://schemas.openxmlformats.org/spreadsheetml/2006/main">
  <c r="F26" i="9" l="1"/>
  <c r="F27" i="9"/>
  <c r="R37" i="10" l="1"/>
  <c r="R36" i="10"/>
  <c r="L27" i="10"/>
  <c r="L26" i="10"/>
  <c r="L25" i="10"/>
  <c r="L24" i="10"/>
  <c r="L23" i="10"/>
  <c r="L31" i="10"/>
  <c r="L30" i="10"/>
  <c r="L29" i="10"/>
  <c r="L19" i="10"/>
  <c r="R13" i="10"/>
  <c r="O12" i="10"/>
  <c r="Q12" i="10" s="1"/>
  <c r="R12" i="10" s="1"/>
  <c r="O11" i="10"/>
  <c r="Q11" i="10" s="1"/>
  <c r="R11" i="10" s="1"/>
  <c r="O10" i="10"/>
  <c r="Q10" i="10" s="1"/>
  <c r="R10" i="10" s="1"/>
  <c r="O9" i="10"/>
  <c r="Q9" i="10" s="1"/>
  <c r="R9" i="10" s="1"/>
  <c r="O7" i="10"/>
  <c r="Q7" i="10" s="1"/>
  <c r="R7" i="10" s="1"/>
  <c r="O5" i="10"/>
  <c r="Q5" i="10" s="1"/>
  <c r="L22" i="10" l="1"/>
  <c r="R5" i="10"/>
  <c r="L28" i="10"/>
  <c r="L32" i="10"/>
  <c r="O8" i="10"/>
  <c r="Q8" i="10" s="1"/>
  <c r="R8" i="10" s="1"/>
  <c r="L20" i="10"/>
  <c r="O6" i="10"/>
  <c r="Q6" i="10" s="1"/>
  <c r="R6" i="10" s="1"/>
  <c r="L21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E21" i="10"/>
  <c r="E20" i="10"/>
  <c r="E19" i="10"/>
  <c r="M32" i="10" s="1"/>
  <c r="E18" i="10"/>
  <c r="M31" i="10" s="1"/>
  <c r="E17" i="10"/>
  <c r="M30" i="10" s="1"/>
  <c r="E16" i="10"/>
  <c r="M29" i="10" s="1"/>
  <c r="E15" i="10"/>
  <c r="M28" i="10" s="1"/>
  <c r="E14" i="10"/>
  <c r="M27" i="10" s="1"/>
  <c r="E13" i="10"/>
  <c r="M26" i="10" s="1"/>
  <c r="E12" i="10"/>
  <c r="M25" i="10" s="1"/>
  <c r="E11" i="10"/>
  <c r="M24" i="10" s="1"/>
  <c r="E10" i="10"/>
  <c r="M23" i="10" s="1"/>
  <c r="E9" i="10"/>
  <c r="M22" i="10" s="1"/>
  <c r="E8" i="10"/>
  <c r="M21" i="10" s="1"/>
  <c r="E7" i="10"/>
  <c r="M20" i="10" s="1"/>
  <c r="E6" i="10"/>
  <c r="M19" i="10" s="1"/>
  <c r="C21" i="10"/>
  <c r="B21" i="10" s="1"/>
  <c r="C20" i="10"/>
  <c r="B20" i="10" s="1"/>
  <c r="C19" i="10"/>
  <c r="C18" i="10"/>
  <c r="C17" i="10"/>
  <c r="C16" i="10"/>
  <c r="C15" i="10"/>
  <c r="C14" i="10"/>
  <c r="C13" i="10"/>
  <c r="C12" i="10"/>
  <c r="C11" i="10"/>
  <c r="C10" i="10"/>
  <c r="C9" i="10"/>
  <c r="B9" i="10" s="1"/>
  <c r="C8" i="10"/>
  <c r="C7" i="10"/>
  <c r="C6" i="10"/>
  <c r="F2" i="26"/>
  <c r="F3" i="28"/>
  <c r="F2" i="25"/>
  <c r="E2" i="25"/>
  <c r="F2" i="24"/>
  <c r="F2" i="22"/>
  <c r="F4" i="16"/>
  <c r="F2" i="16"/>
  <c r="F3" i="15"/>
  <c r="F6" i="13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6" i="1"/>
  <c r="B6" i="10" l="1"/>
  <c r="F6" i="10" s="1"/>
  <c r="G6" i="10" s="1"/>
  <c r="N19" i="10"/>
  <c r="O19" i="10" s="1"/>
  <c r="T19" i="10" s="1"/>
  <c r="B14" i="10"/>
  <c r="F14" i="10" s="1"/>
  <c r="G14" i="10" s="1"/>
  <c r="N27" i="10"/>
  <c r="O27" i="10" s="1"/>
  <c r="T27" i="10" s="1"/>
  <c r="U27" i="10" s="1"/>
  <c r="B7" i="10"/>
  <c r="F7" i="10" s="1"/>
  <c r="G7" i="10" s="1"/>
  <c r="N20" i="10"/>
  <c r="O20" i="10" s="1"/>
  <c r="B15" i="10"/>
  <c r="F15" i="10" s="1"/>
  <c r="G15" i="10" s="1"/>
  <c r="N28" i="10"/>
  <c r="O28" i="10" s="1"/>
  <c r="Q28" i="10" s="1"/>
  <c r="R28" i="10" s="1"/>
  <c r="B8" i="10"/>
  <c r="F8" i="10" s="1"/>
  <c r="G8" i="10" s="1"/>
  <c r="N21" i="10"/>
  <c r="O21" i="10" s="1"/>
  <c r="B16" i="10"/>
  <c r="F16" i="10" s="1"/>
  <c r="G16" i="10" s="1"/>
  <c r="N29" i="10"/>
  <c r="O29" i="10" s="1"/>
  <c r="F9" i="10"/>
  <c r="G9" i="10" s="1"/>
  <c r="N22" i="10"/>
  <c r="O22" i="10" s="1"/>
  <c r="T22" i="10" s="1"/>
  <c r="U22" i="10" s="1"/>
  <c r="B17" i="10"/>
  <c r="F17" i="10" s="1"/>
  <c r="G17" i="10" s="1"/>
  <c r="N30" i="10"/>
  <c r="O30" i="10" s="1"/>
  <c r="B10" i="10"/>
  <c r="F10" i="10" s="1"/>
  <c r="G10" i="10" s="1"/>
  <c r="N23" i="10"/>
  <c r="O23" i="10" s="1"/>
  <c r="B18" i="10"/>
  <c r="F18" i="10" s="1"/>
  <c r="G18" i="10" s="1"/>
  <c r="N31" i="10"/>
  <c r="O31" i="10" s="1"/>
  <c r="Q31" i="10" s="1"/>
  <c r="R31" i="10" s="1"/>
  <c r="B11" i="10"/>
  <c r="F11" i="10" s="1"/>
  <c r="G11" i="10" s="1"/>
  <c r="N24" i="10"/>
  <c r="O24" i="10" s="1"/>
  <c r="B19" i="10"/>
  <c r="F19" i="10" s="1"/>
  <c r="G19" i="10" s="1"/>
  <c r="N32" i="10"/>
  <c r="O32" i="10" s="1"/>
  <c r="Q32" i="10" s="1"/>
  <c r="R32" i="10" s="1"/>
  <c r="B12" i="10"/>
  <c r="F12" i="10" s="1"/>
  <c r="G12" i="10" s="1"/>
  <c r="N25" i="10"/>
  <c r="O25" i="10" s="1"/>
  <c r="Q25" i="10" s="1"/>
  <c r="R25" i="10" s="1"/>
  <c r="B13" i="10"/>
  <c r="F13" i="10" s="1"/>
  <c r="G13" i="10" s="1"/>
  <c r="N26" i="10"/>
  <c r="O26" i="10" s="1"/>
  <c r="T26" i="10" s="1"/>
  <c r="V26" i="10" s="1"/>
  <c r="Q16" i="10"/>
  <c r="F20" i="10"/>
  <c r="G20" i="10" s="1"/>
  <c r="F21" i="10"/>
  <c r="G21" i="10" s="1"/>
  <c r="B6" i="1"/>
  <c r="B7" i="1"/>
  <c r="B8" i="1"/>
  <c r="B9" i="1"/>
  <c r="B10" i="1"/>
  <c r="B11" i="1"/>
  <c r="Q19" i="10" l="1"/>
  <c r="Q33" i="10" s="1"/>
  <c r="V27" i="10"/>
  <c r="Q26" i="10"/>
  <c r="R26" i="10" s="1"/>
  <c r="U26" i="10"/>
  <c r="Q27" i="10"/>
  <c r="R27" i="10" s="1"/>
  <c r="Q24" i="10"/>
  <c r="R24" i="10" s="1"/>
  <c r="T24" i="10"/>
  <c r="U24" i="10" s="1"/>
  <c r="T23" i="10"/>
  <c r="V23" i="10" s="1"/>
  <c r="Q23" i="10"/>
  <c r="R23" i="10" s="1"/>
  <c r="T25" i="10"/>
  <c r="U25" i="10" s="1"/>
  <c r="T32" i="10"/>
  <c r="V32" i="10" s="1"/>
  <c r="T28" i="10"/>
  <c r="V28" i="10" s="1"/>
  <c r="T31" i="10"/>
  <c r="V31" i="10" s="1"/>
  <c r="V22" i="10"/>
  <c r="Q22" i="10"/>
  <c r="R22" i="10" s="1"/>
  <c r="U19" i="10"/>
  <c r="U33" i="10" s="1"/>
  <c r="Q34" i="10" s="1"/>
  <c r="R34" i="10" s="1"/>
  <c r="V19" i="10"/>
  <c r="V33" i="10" s="1"/>
  <c r="Q35" i="10" s="1"/>
  <c r="R35" i="10" s="1"/>
  <c r="T30" i="10"/>
  <c r="Q30" i="10"/>
  <c r="R30" i="10" s="1"/>
  <c r="Q21" i="10"/>
  <c r="R21" i="10" s="1"/>
  <c r="T21" i="10"/>
  <c r="Q20" i="10"/>
  <c r="R20" i="10" s="1"/>
  <c r="T20" i="10"/>
  <c r="T29" i="10"/>
  <c r="Q29" i="10"/>
  <c r="R29" i="10" s="1"/>
  <c r="AM11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J10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M6" i="1"/>
  <c r="AJ7" i="1"/>
  <c r="AM8" i="1"/>
  <c r="AJ9" i="1"/>
  <c r="AM10" i="1"/>
  <c r="AJ11" i="1"/>
  <c r="AM12" i="1"/>
  <c r="AE5" i="1"/>
  <c r="AM5" i="1" s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R19" i="10" l="1"/>
  <c r="R33" i="10" s="1"/>
  <c r="U23" i="10"/>
  <c r="V24" i="10"/>
  <c r="V25" i="10"/>
  <c r="U31" i="10"/>
  <c r="U32" i="10"/>
  <c r="U28" i="10"/>
  <c r="V21" i="10"/>
  <c r="U21" i="10"/>
  <c r="Q38" i="10"/>
  <c r="R16" i="10" s="1"/>
  <c r="U20" i="10"/>
  <c r="V20" i="10"/>
  <c r="V30" i="10"/>
  <c r="U30" i="10"/>
  <c r="V29" i="10"/>
  <c r="U29" i="10"/>
  <c r="AJ12" i="1"/>
  <c r="AJ5" i="1"/>
  <c r="AJ8" i="1"/>
  <c r="AM9" i="1"/>
  <c r="AM7" i="1"/>
  <c r="AJ6" i="1"/>
  <c r="G29" i="11"/>
  <c r="F29" i="11"/>
  <c r="D29" i="11"/>
  <c r="G28" i="11"/>
  <c r="F28" i="11"/>
  <c r="D28" i="11"/>
  <c r="E28" i="11" s="1"/>
  <c r="G27" i="11"/>
  <c r="F27" i="11"/>
  <c r="D27" i="11"/>
  <c r="E27" i="11" s="1"/>
  <c r="G26" i="11"/>
  <c r="F26" i="11"/>
  <c r="D26" i="11"/>
  <c r="E26" i="11" s="1"/>
  <c r="G25" i="11"/>
  <c r="F25" i="11"/>
  <c r="D25" i="11"/>
  <c r="G24" i="11"/>
  <c r="F24" i="11"/>
  <c r="D24" i="11"/>
  <c r="G23" i="11"/>
  <c r="F23" i="11"/>
  <c r="D23" i="11"/>
  <c r="E23" i="11" s="1"/>
  <c r="G22" i="11"/>
  <c r="F22" i="11"/>
  <c r="D22" i="11"/>
  <c r="G21" i="11"/>
  <c r="F21" i="11"/>
  <c r="D21" i="11"/>
  <c r="E21" i="11" s="1"/>
  <c r="G20" i="11"/>
  <c r="F20" i="11"/>
  <c r="D20" i="11"/>
  <c r="E20" i="11" s="1"/>
  <c r="G19" i="11"/>
  <c r="F19" i="11"/>
  <c r="D19" i="11"/>
  <c r="E19" i="11" s="1"/>
  <c r="G18" i="11"/>
  <c r="F18" i="11"/>
  <c r="D18" i="11"/>
  <c r="E18" i="11" s="1"/>
  <c r="G17" i="11"/>
  <c r="F17" i="11"/>
  <c r="D17" i="11"/>
  <c r="E17" i="11" s="1"/>
  <c r="G16" i="11"/>
  <c r="F16" i="11"/>
  <c r="D16" i="11"/>
  <c r="E16" i="11" s="1"/>
  <c r="E12" i="11"/>
  <c r="H12" i="11" s="1"/>
  <c r="E11" i="11"/>
  <c r="H11" i="11" s="1"/>
  <c r="J11" i="11" s="1"/>
  <c r="E10" i="11"/>
  <c r="H10" i="11" s="1"/>
  <c r="J10" i="11" s="1"/>
  <c r="E9" i="11"/>
  <c r="H9" i="11" s="1"/>
  <c r="E8" i="11"/>
  <c r="H8" i="11" s="1"/>
  <c r="J8" i="11" s="1"/>
  <c r="E7" i="11"/>
  <c r="H7" i="11" s="1"/>
  <c r="J7" i="11" s="1"/>
  <c r="E6" i="11"/>
  <c r="H6" i="11" s="1"/>
  <c r="J6" i="11" s="1"/>
  <c r="E5" i="11"/>
  <c r="H5" i="11" s="1"/>
  <c r="J5" i="11" s="1"/>
  <c r="R38" i="10" l="1"/>
  <c r="E25" i="11"/>
  <c r="H25" i="11" s="1"/>
  <c r="J25" i="11" s="1"/>
  <c r="E24" i="11"/>
  <c r="H24" i="11" s="1"/>
  <c r="J24" i="11" s="1"/>
  <c r="H23" i="11"/>
  <c r="J23" i="11" s="1"/>
  <c r="H27" i="11"/>
  <c r="M27" i="11" s="1"/>
  <c r="H18" i="11"/>
  <c r="J18" i="11" s="1"/>
  <c r="E22" i="11"/>
  <c r="H22" i="11" s="1"/>
  <c r="M22" i="11" s="1"/>
  <c r="N22" i="11" s="1"/>
  <c r="J9" i="11"/>
  <c r="E29" i="11"/>
  <c r="H29" i="11" s="1"/>
  <c r="M29" i="11" s="1"/>
  <c r="N29" i="11" s="1"/>
  <c r="H16" i="11"/>
  <c r="J16" i="11" s="1"/>
  <c r="H17" i="11"/>
  <c r="J17" i="11" s="1"/>
  <c r="H19" i="11"/>
  <c r="M19" i="11" s="1"/>
  <c r="H21" i="11"/>
  <c r="J21" i="11" s="1"/>
  <c r="H26" i="11"/>
  <c r="M26" i="11" s="1"/>
  <c r="H28" i="11"/>
  <c r="J28" i="11" s="1"/>
  <c r="H20" i="11"/>
  <c r="M20" i="11" s="1"/>
  <c r="J12" i="11"/>
  <c r="B5" i="10"/>
  <c r="M25" i="11" l="1"/>
  <c r="O25" i="11" s="1"/>
  <c r="M23" i="11"/>
  <c r="N23" i="11" s="1"/>
  <c r="M17" i="11"/>
  <c r="O17" i="11" s="1"/>
  <c r="M24" i="11"/>
  <c r="O24" i="11" s="1"/>
  <c r="M16" i="11"/>
  <c r="O16" i="11" s="1"/>
  <c r="O30" i="11" s="1"/>
  <c r="J32" i="11" s="1"/>
  <c r="J22" i="11"/>
  <c r="O22" i="11"/>
  <c r="M18" i="11"/>
  <c r="O18" i="11" s="1"/>
  <c r="J19" i="11"/>
  <c r="J29" i="11"/>
  <c r="J27" i="11"/>
  <c r="O29" i="11"/>
  <c r="J14" i="11"/>
  <c r="M21" i="11"/>
  <c r="O21" i="11" s="1"/>
  <c r="J26" i="11"/>
  <c r="M28" i="11"/>
  <c r="O28" i="11" s="1"/>
  <c r="J20" i="11"/>
  <c r="O19" i="11"/>
  <c r="N19" i="11"/>
  <c r="O20" i="11"/>
  <c r="N20" i="11"/>
  <c r="J30" i="11"/>
  <c r="O27" i="11"/>
  <c r="N27" i="11"/>
  <c r="O26" i="11"/>
  <c r="N26" i="11"/>
  <c r="O23" i="11" l="1"/>
  <c r="N21" i="11"/>
  <c r="N24" i="11"/>
  <c r="N25" i="11"/>
  <c r="N17" i="11"/>
  <c r="N16" i="11"/>
  <c r="N30" i="11" s="1"/>
  <c r="J31" i="11" s="1"/>
  <c r="J35" i="11" s="1"/>
  <c r="K31" i="11" s="1"/>
  <c r="N18" i="11"/>
  <c r="N28" i="11"/>
  <c r="K33" i="11" l="1"/>
  <c r="K13" i="11"/>
  <c r="K34" i="11"/>
  <c r="K9" i="11"/>
  <c r="K8" i="11"/>
  <c r="K17" i="11"/>
  <c r="K10" i="11"/>
  <c r="K6" i="11"/>
  <c r="K5" i="11"/>
  <c r="K12" i="11"/>
  <c r="K7" i="11"/>
  <c r="K11" i="11"/>
  <c r="K19" i="11"/>
  <c r="K14" i="11"/>
  <c r="K22" i="11"/>
  <c r="K24" i="11"/>
  <c r="K21" i="11"/>
  <c r="K28" i="11"/>
  <c r="K18" i="11"/>
  <c r="K16" i="11"/>
  <c r="K30" i="11" s="1"/>
  <c r="K25" i="11"/>
  <c r="K23" i="11"/>
  <c r="K27" i="11"/>
  <c r="K20" i="11"/>
  <c r="K26" i="11"/>
  <c r="K29" i="11"/>
  <c r="K32" i="11"/>
  <c r="K35" i="11" l="1"/>
  <c r="F23" i="9" l="1"/>
  <c r="F24" i="9"/>
  <c r="F25" i="9"/>
  <c r="F28" i="9"/>
  <c r="F29" i="9"/>
  <c r="F22" i="9"/>
  <c r="F7" i="9"/>
  <c r="F8" i="9"/>
  <c r="F9" i="9"/>
  <c r="F10" i="9"/>
  <c r="F11" i="9"/>
  <c r="F12" i="9"/>
  <c r="F13" i="9"/>
  <c r="F6" i="9"/>
  <c r="Z5" i="1"/>
  <c r="K16" i="9" l="1"/>
  <c r="C34" i="9" s="1"/>
  <c r="F34" i="9" s="1"/>
  <c r="H16" i="9"/>
  <c r="C31" i="9" s="1"/>
  <c r="F31" i="9" s="1"/>
  <c r="M16" i="9"/>
  <c r="C36" i="9" s="1"/>
  <c r="F36" i="9" s="1"/>
  <c r="L16" i="9"/>
  <c r="C35" i="9" s="1"/>
  <c r="F35" i="9" s="1"/>
  <c r="G16" i="9"/>
  <c r="C30" i="9" s="1"/>
  <c r="F30" i="9" s="1"/>
  <c r="N16" i="9"/>
  <c r="C37" i="9" s="1"/>
  <c r="F37" i="9" s="1"/>
  <c r="Q16" i="9"/>
  <c r="C40" i="9" s="1"/>
  <c r="F40" i="9" s="1"/>
  <c r="J16" i="9"/>
  <c r="C33" i="9" s="1"/>
  <c r="F33" i="9" s="1"/>
  <c r="O16" i="9"/>
  <c r="C38" i="9" s="1"/>
  <c r="F38" i="9" s="1"/>
  <c r="P16" i="9"/>
  <c r="C39" i="9" s="1"/>
  <c r="F39" i="9" s="1"/>
  <c r="I16" i="9"/>
  <c r="C32" i="9" s="1"/>
  <c r="F32" i="9" s="1"/>
  <c r="R16" i="9"/>
  <c r="C41" i="9" s="1"/>
  <c r="F41" i="9" s="1"/>
  <c r="B5" i="1"/>
  <c r="G36" i="5"/>
  <c r="G34" i="5"/>
  <c r="G32" i="5"/>
  <c r="F32" i="5"/>
  <c r="G30" i="5"/>
  <c r="G29" i="5"/>
  <c r="G27" i="5"/>
  <c r="G21" i="5"/>
  <c r="G19" i="5"/>
  <c r="G14" i="5"/>
  <c r="G9" i="5"/>
</calcChain>
</file>

<file path=xl/comments1.xml><?xml version="1.0" encoding="utf-8"?>
<comments xmlns="http://schemas.openxmlformats.org/spreadsheetml/2006/main">
  <authors>
    <author>作者</author>
  </authors>
  <commentList>
    <comment ref="AJ4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燒結數量</t>
        </r>
      </text>
    </comment>
    <comment ref="AM4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電鍍每次數量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G4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42</t>
        </r>
        <r>
          <rPr>
            <sz val="9"/>
            <color indexed="81"/>
            <rFont val="細明體"/>
            <family val="3"/>
            <charset val="136"/>
          </rPr>
          <t xml:space="preserve">輪計算
</t>
        </r>
        <r>
          <rPr>
            <sz val="9"/>
            <color indexed="81"/>
            <rFont val="Tahoma"/>
            <family val="2"/>
          </rPr>
          <t>24</t>
        </r>
        <r>
          <rPr>
            <sz val="9"/>
            <color indexed="81"/>
            <rFont val="細明體"/>
            <family val="3"/>
            <charset val="136"/>
          </rPr>
          <t xml:space="preserve">小時
</t>
        </r>
        <r>
          <rPr>
            <sz val="9"/>
            <color indexed="81"/>
            <rFont val="Tahoma"/>
            <family val="2"/>
          </rPr>
          <t>30</t>
        </r>
        <r>
          <rPr>
            <sz val="9"/>
            <color indexed="81"/>
            <rFont val="細明體"/>
            <family val="3"/>
            <charset val="136"/>
          </rPr>
          <t xml:space="preserve">天
</t>
        </r>
        <r>
          <rPr>
            <sz val="9"/>
            <color indexed="81"/>
            <rFont val="Tahoma"/>
            <family val="2"/>
          </rPr>
          <t>0.95</t>
        </r>
        <r>
          <rPr>
            <sz val="9"/>
            <color indexed="81"/>
            <rFont val="細明體"/>
            <family val="3"/>
            <charset val="136"/>
          </rPr>
          <t>效益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叩機台</t>
        </r>
        <r>
          <rPr>
            <sz val="9"/>
            <color indexed="81"/>
            <rFont val="Tahoma"/>
            <family val="2"/>
          </rPr>
          <t>PM</t>
        </r>
        <r>
          <rPr>
            <sz val="9"/>
            <color indexed="81"/>
            <rFont val="細明體"/>
            <family val="3"/>
            <charset val="136"/>
          </rPr>
          <t>時間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Q37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Total 4000KNTD,
max. output 200KK
MCI share 50%
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J34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Total 4000KNTD,
max. output 200KK
MCI share 50%
</t>
        </r>
      </text>
    </comment>
  </commentList>
</comments>
</file>

<file path=xl/sharedStrings.xml><?xml version="1.0" encoding="utf-8"?>
<sst xmlns="http://schemas.openxmlformats.org/spreadsheetml/2006/main" count="676" uniqueCount="253">
  <si>
    <t>Dimension</t>
  </si>
  <si>
    <t>Bar</t>
  </si>
  <si>
    <t>Quantity/Bar</t>
  </si>
  <si>
    <t>Row x column</t>
  </si>
  <si>
    <t>內電極張數</t>
  </si>
  <si>
    <t>薄帶張數(Mark)
(18um)</t>
  </si>
  <si>
    <t>Total layer</t>
  </si>
  <si>
    <t>Via Layer</t>
  </si>
  <si>
    <t>TTL Hole/Pcs</t>
  </si>
  <si>
    <t>Term. Consum.(g/Kpcs)</t>
  </si>
  <si>
    <t>99*205*4</t>
  </si>
  <si>
    <t>範例</t>
    <phoneticPr fontId="1" type="noConversion"/>
  </si>
  <si>
    <t>Nr of Cut
(總刀數)</t>
    <phoneticPr fontId="1" type="noConversion"/>
  </si>
  <si>
    <t>Dipping Jig Quantity</t>
  </si>
  <si>
    <t xml:space="preserve"> </t>
    <phoneticPr fontId="12" type="noConversion"/>
  </si>
  <si>
    <t xml:space="preserve"> </t>
    <phoneticPr fontId="13" type="noConversion"/>
  </si>
  <si>
    <t>Process</t>
    <phoneticPr fontId="12" type="noConversion"/>
  </si>
  <si>
    <t>Machine</t>
    <phoneticPr fontId="12" type="noConversion"/>
  </si>
  <si>
    <t>Number of machines</t>
    <phoneticPr fontId="14" type="noConversion"/>
  </si>
  <si>
    <t>Price</t>
    <phoneticPr fontId="12" type="noConversion"/>
  </si>
  <si>
    <t>Depre.</t>
    <phoneticPr fontId="13" type="noConversion"/>
  </si>
  <si>
    <t>C.T</t>
    <phoneticPr fontId="13" type="noConversion"/>
  </si>
  <si>
    <t>P.T</t>
    <phoneticPr fontId="12" type="noConversion"/>
  </si>
  <si>
    <t>Man/Machine Ratio</t>
    <phoneticPr fontId="12" type="noConversion"/>
  </si>
  <si>
    <t>製帶</t>
    <phoneticPr fontId="13" type="noConversion"/>
  </si>
  <si>
    <t>亞泰_COATER 機</t>
    <phoneticPr fontId="13" type="noConversion"/>
  </si>
  <si>
    <t xml:space="preserve">B100L球磨機/型號:TYN-100L      </t>
  </si>
  <si>
    <t xml:space="preserve">高溫加熱高溫爐                 </t>
  </si>
  <si>
    <t xml:space="preserve">半電動推高機                   </t>
  </si>
  <si>
    <t>新裁片機</t>
    <phoneticPr fontId="13" type="noConversion"/>
  </si>
  <si>
    <t>調漿</t>
    <phoneticPr fontId="13" type="noConversion"/>
  </si>
  <si>
    <t xml:space="preserve">不銹鋼真空攪拌脫泡桶           </t>
  </si>
  <si>
    <t>打孔</t>
    <phoneticPr fontId="13" type="noConversion"/>
  </si>
  <si>
    <t xml:space="preserve">雙軸雷射打孔機                 </t>
    <phoneticPr fontId="14" type="noConversion"/>
  </si>
  <si>
    <t xml:space="preserve">集塵機                         </t>
  </si>
  <si>
    <t>乾式印刷</t>
    <phoneticPr fontId="13" type="noConversion"/>
  </si>
  <si>
    <t>自動印刷機</t>
    <phoneticPr fontId="13" type="noConversion"/>
  </si>
  <si>
    <t>自動印刷機 (東海新機)</t>
    <phoneticPr fontId="13" type="noConversion"/>
  </si>
  <si>
    <t>非接觸式三次元量測儀 ZIP2</t>
  </si>
  <si>
    <t xml:space="preserve">顯微鏡量測組                   </t>
  </si>
  <si>
    <t>Brookfield HBDV黏度計</t>
  </si>
  <si>
    <t>光學影像測量儀</t>
    <phoneticPr fontId="13" type="noConversion"/>
  </si>
  <si>
    <t>疊壓</t>
    <phoneticPr fontId="13" type="noConversion"/>
  </si>
  <si>
    <t>裁邊+脫膠機</t>
  </si>
  <si>
    <t>自動堆疊機</t>
    <phoneticPr fontId="14" type="noConversion"/>
  </si>
  <si>
    <t>自動堆疊機</t>
  </si>
  <si>
    <t>水壓</t>
    <phoneticPr fontId="13" type="noConversion"/>
  </si>
  <si>
    <t>水壓機</t>
  </si>
  <si>
    <t>切割</t>
    <phoneticPr fontId="13" type="noConversion"/>
  </si>
  <si>
    <t xml:space="preserve">切割機                         </t>
  </si>
  <si>
    <t>發泡膠分離機</t>
  </si>
  <si>
    <t xml:space="preserve">篩選機                         </t>
  </si>
  <si>
    <t xml:space="preserve">脫膠機                         </t>
  </si>
  <si>
    <t>燒結</t>
    <phoneticPr fontId="13" type="noConversion"/>
  </si>
  <si>
    <t>ST爐</t>
  </si>
  <si>
    <t>研磨</t>
    <phoneticPr fontId="13" type="noConversion"/>
  </si>
  <si>
    <t>斜板式水洗超音波清洗機 36</t>
    <phoneticPr fontId="14" type="noConversion"/>
  </si>
  <si>
    <t>塗銀</t>
  </si>
  <si>
    <t>自動塗銀機</t>
    <phoneticPr fontId="13" type="noConversion"/>
  </si>
  <si>
    <t>電鍍</t>
  </si>
  <si>
    <t>新離心式電鍍機</t>
    <phoneticPr fontId="13" type="noConversion"/>
  </si>
  <si>
    <t>X-RAY鍍層膜厚分析儀</t>
  </si>
  <si>
    <t>選別</t>
    <phoneticPr fontId="13" type="noConversion"/>
  </si>
  <si>
    <t>萬潤-IS50</t>
    <phoneticPr fontId="13" type="noConversion"/>
  </si>
  <si>
    <t>測包</t>
    <phoneticPr fontId="13" type="noConversion"/>
  </si>
  <si>
    <t>測包機_0201</t>
    <phoneticPr fontId="14" type="noConversion"/>
  </si>
  <si>
    <t>0603天正測包機用LCR METER</t>
  </si>
  <si>
    <t>Agilent 4287A LCR Meter</t>
  </si>
  <si>
    <t>外觀</t>
    <phoneticPr fontId="13" type="noConversion"/>
  </si>
  <si>
    <t>捷坤</t>
    <phoneticPr fontId="14" type="noConversion"/>
  </si>
  <si>
    <t>包裝</t>
    <phoneticPr fontId="13" type="noConversion"/>
  </si>
  <si>
    <t>拉力測試機</t>
    <phoneticPr fontId="13" type="noConversion"/>
  </si>
  <si>
    <t>EMC Design Data_Base</t>
    <phoneticPr fontId="1" type="noConversion"/>
  </si>
  <si>
    <t>系列</t>
    <phoneticPr fontId="1" type="noConversion"/>
  </si>
  <si>
    <t>Dipping</t>
    <phoneticPr fontId="1" type="noConversion"/>
  </si>
  <si>
    <t>BBO &amp; Sintering Jig Quantity</t>
    <phoneticPr fontId="1" type="noConversion"/>
  </si>
  <si>
    <t xml:space="preserve">Barrel quantity of Plating </t>
    <phoneticPr fontId="1" type="noConversion"/>
  </si>
  <si>
    <t>薄帶規格</t>
    <phoneticPr fontId="1" type="noConversion"/>
  </si>
  <si>
    <t>原材料</t>
    <phoneticPr fontId="1" type="noConversion"/>
  </si>
  <si>
    <t>薄帶張數18µm</t>
    <phoneticPr fontId="3" type="noConversion"/>
  </si>
  <si>
    <t>薄帶張數20um</t>
    <phoneticPr fontId="3" type="noConversion"/>
  </si>
  <si>
    <t>薄帶張數21um</t>
    <phoneticPr fontId="3" type="noConversion"/>
  </si>
  <si>
    <t>薄帶張數23um</t>
    <phoneticPr fontId="3" type="noConversion"/>
  </si>
  <si>
    <t>薄帶張數25um</t>
    <phoneticPr fontId="3" type="noConversion"/>
  </si>
  <si>
    <t>薄帶張數27um</t>
    <phoneticPr fontId="3" type="noConversion"/>
  </si>
  <si>
    <t>薄帶張數29um</t>
    <phoneticPr fontId="3" type="noConversion"/>
  </si>
  <si>
    <t>薄帶張數32um</t>
    <phoneticPr fontId="3" type="noConversion"/>
  </si>
  <si>
    <t>薄帶張數36um</t>
    <phoneticPr fontId="3" type="noConversion"/>
  </si>
  <si>
    <t>薄帶張數40um</t>
    <phoneticPr fontId="3" type="noConversion"/>
  </si>
  <si>
    <t>薄帶張數38um</t>
    <phoneticPr fontId="3" type="noConversion"/>
  </si>
  <si>
    <t>薄帶張數16um</t>
    <phoneticPr fontId="3" type="noConversion"/>
  </si>
  <si>
    <t>MCI-25 powder</t>
    <phoneticPr fontId="22" type="noConversion"/>
  </si>
  <si>
    <t>FOIL CASTING NAN YA PET FILM 50UM*200MM LA50A</t>
  </si>
  <si>
    <t>WET BINDER B-1070</t>
  </si>
  <si>
    <t>WET BINDER B-1000</t>
    <phoneticPr fontId="22" type="noConversion"/>
  </si>
  <si>
    <t>WET DISPEX A40</t>
  </si>
  <si>
    <t>WET PSA-336</t>
  </si>
  <si>
    <t>WET THICKNER ACUSOL 830</t>
  </si>
  <si>
    <t>WET ON-47</t>
  </si>
  <si>
    <t>料帶16um</t>
    <phoneticPr fontId="3" type="noConversion"/>
  </si>
  <si>
    <t>料帶20um</t>
    <phoneticPr fontId="3" type="noConversion"/>
  </si>
  <si>
    <t>料帶21um</t>
    <phoneticPr fontId="3" type="noConversion"/>
  </si>
  <si>
    <t>料帶23um</t>
    <phoneticPr fontId="3" type="noConversion"/>
  </si>
  <si>
    <t>料帶25um</t>
    <phoneticPr fontId="3" type="noConversion"/>
  </si>
  <si>
    <t>料帶27um</t>
    <phoneticPr fontId="3" type="noConversion"/>
  </si>
  <si>
    <t>料帶29um</t>
    <phoneticPr fontId="3" type="noConversion"/>
  </si>
  <si>
    <t>料帶32um</t>
    <phoneticPr fontId="3" type="noConversion"/>
  </si>
  <si>
    <t>料帶36um</t>
    <phoneticPr fontId="3" type="noConversion"/>
  </si>
  <si>
    <t>料帶38um</t>
    <phoneticPr fontId="3" type="noConversion"/>
  </si>
  <si>
    <t>料帶40um</t>
    <phoneticPr fontId="3" type="noConversion"/>
  </si>
  <si>
    <t>材料</t>
    <phoneticPr fontId="1" type="noConversion"/>
  </si>
  <si>
    <t>單價</t>
    <phoneticPr fontId="1" type="noConversion"/>
  </si>
  <si>
    <t>單位</t>
    <phoneticPr fontId="1" type="noConversion"/>
  </si>
  <si>
    <t>EMC Material Price and consumption</t>
    <phoneticPr fontId="1" type="noConversion"/>
  </si>
  <si>
    <t>此處填上每次配置量需使用多少單位</t>
    <phoneticPr fontId="1" type="noConversion"/>
  </si>
  <si>
    <t>↑</t>
    <phoneticPr fontId="1" type="noConversion"/>
  </si>
  <si>
    <t>採購價格</t>
    <phoneticPr fontId="1" type="noConversion"/>
  </si>
  <si>
    <t>換算單位</t>
    <phoneticPr fontId="1" type="noConversion"/>
  </si>
  <si>
    <t>0201沖孔紙帶(東產)</t>
  </si>
  <si>
    <t>上膠(雷科)</t>
  </si>
  <si>
    <t>REEL(非抗)7" *8MM EIAJ</t>
  </si>
  <si>
    <t>4019內銀膏</t>
  </si>
  <si>
    <t>4303W外銀膏</t>
  </si>
  <si>
    <t>總量</t>
    <phoneticPr fontId="1" type="noConversion"/>
  </si>
  <si>
    <t>若建置不完全，在煩請協助補上
皆填寫最新採購價格即可</t>
    <phoneticPr fontId="1" type="noConversion"/>
  </si>
  <si>
    <t>採購價格與數量</t>
    <phoneticPr fontId="1" type="noConversion"/>
  </si>
  <si>
    <t>34815mark膏</t>
    <phoneticPr fontId="1" type="noConversion"/>
  </si>
  <si>
    <t>Consum./Layer</t>
    <phoneticPr fontId="1" type="noConversion"/>
  </si>
  <si>
    <t>EMC  Machine  List</t>
    <phoneticPr fontId="12" type="noConversion"/>
  </si>
  <si>
    <t>Product</t>
    <phoneticPr fontId="12" type="noConversion"/>
  </si>
  <si>
    <t>於Product欄位，請標明適用於何產品，若為全產品打上ALL即可。</t>
    <phoneticPr fontId="1" type="noConversion"/>
  </si>
  <si>
    <t>YIELD</t>
  </si>
  <si>
    <t>PRF</t>
  </si>
  <si>
    <t>SPEED</t>
  </si>
  <si>
    <t>EFF'CY</t>
  </si>
  <si>
    <t>UPH</t>
  </si>
  <si>
    <t>Cap./Month</t>
    <phoneticPr fontId="14" type="noConversion"/>
  </si>
  <si>
    <t xml:space="preserve"> </t>
    <phoneticPr fontId="14" type="noConversion"/>
  </si>
  <si>
    <t>Kpcs/hr</t>
    <phoneticPr fontId="13" type="noConversion"/>
  </si>
  <si>
    <t xml:space="preserve"> </t>
    <phoneticPr fontId="25" type="noConversion"/>
  </si>
  <si>
    <t>製帶</t>
    <phoneticPr fontId="13" type="noConversion"/>
  </si>
  <si>
    <t>打孔</t>
    <phoneticPr fontId="13" type="noConversion"/>
  </si>
  <si>
    <t>印刷</t>
    <phoneticPr fontId="13" type="noConversion"/>
  </si>
  <si>
    <t>疊壓</t>
    <phoneticPr fontId="13" type="noConversion"/>
  </si>
  <si>
    <t>水壓</t>
    <phoneticPr fontId="13" type="noConversion"/>
  </si>
  <si>
    <t>切割</t>
    <phoneticPr fontId="13" type="noConversion"/>
  </si>
  <si>
    <t>燒結</t>
    <phoneticPr fontId="13" type="noConversion"/>
  </si>
  <si>
    <t>研磨</t>
    <phoneticPr fontId="13" type="noConversion"/>
  </si>
  <si>
    <t>塗銀</t>
    <phoneticPr fontId="13" type="noConversion"/>
  </si>
  <si>
    <t>燒銀</t>
    <phoneticPr fontId="13" type="noConversion"/>
  </si>
  <si>
    <t>電鍍</t>
    <phoneticPr fontId="13" type="noConversion"/>
  </si>
  <si>
    <t>選別</t>
    <phoneticPr fontId="13" type="noConversion"/>
  </si>
  <si>
    <t>外觀</t>
    <phoneticPr fontId="13" type="noConversion"/>
  </si>
  <si>
    <t>測包</t>
    <phoneticPr fontId="13" type="noConversion"/>
  </si>
  <si>
    <t xml:space="preserve"> </t>
    <phoneticPr fontId="12" type="noConversion"/>
  </si>
  <si>
    <t>MCI 0603TG1N2</t>
  </si>
  <si>
    <t>UNIT</t>
  </si>
  <si>
    <t>CONSUM. UNIT/KPCS</t>
  </si>
  <si>
    <t>MRF</t>
  </si>
  <si>
    <t>TOTAL CONSUM.</t>
  </si>
  <si>
    <t>2020     MSP</t>
    <phoneticPr fontId="13" type="noConversion"/>
  </si>
  <si>
    <t>2001 COST</t>
    <phoneticPr fontId="14" type="noConversion"/>
  </si>
  <si>
    <t xml:space="preserve"> %  T.C.</t>
  </si>
  <si>
    <t>C07 料帶18µm</t>
    <phoneticPr fontId="13" type="noConversion"/>
  </si>
  <si>
    <t>M</t>
    <phoneticPr fontId="13" type="noConversion"/>
  </si>
  <si>
    <t>C07料帶25um</t>
    <phoneticPr fontId="13" type="noConversion"/>
  </si>
  <si>
    <t>C07料帶29um</t>
    <phoneticPr fontId="13" type="noConversion"/>
  </si>
  <si>
    <t>4019內銀膏</t>
    <phoneticPr fontId="13" type="noConversion"/>
  </si>
  <si>
    <t>g</t>
    <phoneticPr fontId="13" type="noConversion"/>
  </si>
  <si>
    <t>34815mark 膏</t>
    <phoneticPr fontId="13" type="noConversion"/>
  </si>
  <si>
    <t>4303W外銀膏</t>
    <phoneticPr fontId="13" type="noConversion"/>
  </si>
  <si>
    <t>Reel</t>
    <phoneticPr fontId="13" type="noConversion"/>
  </si>
  <si>
    <t xml:space="preserve">                                   MATERIAL COST</t>
    <phoneticPr fontId="14" type="noConversion"/>
  </si>
  <si>
    <t>PROCESS</t>
  </si>
  <si>
    <t>Freq.</t>
    <phoneticPr fontId="25" type="noConversion"/>
  </si>
  <si>
    <t>SPEED (KPCS/HR)</t>
  </si>
  <si>
    <t>MIN/KPCS</t>
  </si>
  <si>
    <t>NAF</t>
  </si>
  <si>
    <t>TTL MIN</t>
  </si>
  <si>
    <t>RATE</t>
  </si>
  <si>
    <t>COST</t>
  </si>
  <si>
    <t>% T.C.</t>
  </si>
  <si>
    <t>M/M ratio</t>
  </si>
  <si>
    <t>Man          Mins</t>
  </si>
  <si>
    <t>Dir.              Cost</t>
  </si>
  <si>
    <t>Indir. Cost</t>
  </si>
  <si>
    <t>製帶</t>
    <phoneticPr fontId="13" type="noConversion"/>
  </si>
  <si>
    <t>打孔</t>
    <phoneticPr fontId="13" type="noConversion"/>
  </si>
  <si>
    <t>印刷</t>
    <phoneticPr fontId="13" type="noConversion"/>
  </si>
  <si>
    <t>疊壓</t>
    <phoneticPr fontId="13" type="noConversion"/>
  </si>
  <si>
    <t>Machine Cost</t>
    <phoneticPr fontId="14" type="noConversion"/>
  </si>
  <si>
    <t>TTL</t>
  </si>
  <si>
    <t>MAN   COST - DIRECT</t>
  </si>
  <si>
    <t>MAN    COST - INDIRECT</t>
  </si>
  <si>
    <r>
      <t xml:space="preserve">Var.  Cost (Spare parts, </t>
    </r>
    <r>
      <rPr>
        <sz val="12"/>
        <rFont val="細明體"/>
        <family val="3"/>
        <charset val="136"/>
      </rPr>
      <t>耗材</t>
    </r>
    <r>
      <rPr>
        <sz val="12"/>
        <rFont val="Times New Roman"/>
        <family val="1"/>
      </rPr>
      <t>)</t>
    </r>
    <phoneticPr fontId="25" type="noConversion"/>
  </si>
  <si>
    <r>
      <t xml:space="preserve">Ind , </t>
    </r>
    <r>
      <rPr>
        <sz val="12"/>
        <rFont val="細明體"/>
        <family val="3"/>
        <charset val="136"/>
      </rPr>
      <t>水電</t>
    </r>
    <r>
      <rPr>
        <sz val="12"/>
        <rFont val="Times New Roman"/>
        <family val="1"/>
      </rPr>
      <t xml:space="preserve"> , others</t>
    </r>
    <phoneticPr fontId="25" type="noConversion"/>
  </si>
  <si>
    <t>2010 TOTAL  COST</t>
    <phoneticPr fontId="12" type="noConversion"/>
  </si>
  <si>
    <t>TAGET COST</t>
    <phoneticPr fontId="25" type="noConversion"/>
  </si>
  <si>
    <t>Product Name</t>
    <phoneticPr fontId="1" type="noConversion"/>
  </si>
  <si>
    <t>D1</t>
  </si>
  <si>
    <t xml:space="preserve"> </t>
    <phoneticPr fontId="1" type="noConversion"/>
  </si>
  <si>
    <t xml:space="preserve">  </t>
    <phoneticPr fontId="1" type="noConversion"/>
  </si>
  <si>
    <t>BB</t>
  </si>
  <si>
    <t>PL</t>
  </si>
  <si>
    <t>BBB</t>
  </si>
  <si>
    <t>MCI0603TG1N2</t>
  </si>
  <si>
    <t>Product Name</t>
    <phoneticPr fontId="1" type="noConversion"/>
  </si>
  <si>
    <r>
      <rPr>
        <sz val="12"/>
        <rFont val="標楷體"/>
        <family val="4"/>
        <charset val="136"/>
      </rPr>
      <t>製帶</t>
    </r>
    <phoneticPr fontId="13" type="noConversion"/>
  </si>
  <si>
    <r>
      <rPr>
        <sz val="12"/>
        <rFont val="標楷體"/>
        <family val="4"/>
        <charset val="136"/>
      </rPr>
      <t>打孔</t>
    </r>
    <phoneticPr fontId="13" type="noConversion"/>
  </si>
  <si>
    <r>
      <rPr>
        <sz val="12"/>
        <rFont val="標楷體"/>
        <family val="4"/>
        <charset val="136"/>
      </rPr>
      <t>印刷</t>
    </r>
    <phoneticPr fontId="13" type="noConversion"/>
  </si>
  <si>
    <r>
      <rPr>
        <sz val="12"/>
        <rFont val="標楷體"/>
        <family val="4"/>
        <charset val="136"/>
      </rPr>
      <t>疊壓</t>
    </r>
    <phoneticPr fontId="13" type="noConversion"/>
  </si>
  <si>
    <r>
      <rPr>
        <sz val="12"/>
        <rFont val="標楷體"/>
        <family val="4"/>
        <charset val="136"/>
      </rPr>
      <t>水壓</t>
    </r>
    <phoneticPr fontId="13" type="noConversion"/>
  </si>
  <si>
    <r>
      <rPr>
        <sz val="12"/>
        <rFont val="標楷體"/>
        <family val="4"/>
        <charset val="136"/>
      </rPr>
      <t>切割</t>
    </r>
    <phoneticPr fontId="13" type="noConversion"/>
  </si>
  <si>
    <r>
      <rPr>
        <sz val="12"/>
        <rFont val="標楷體"/>
        <family val="4"/>
        <charset val="136"/>
      </rPr>
      <t>預熱</t>
    </r>
    <phoneticPr fontId="1" type="noConversion"/>
  </si>
  <si>
    <r>
      <rPr>
        <sz val="12"/>
        <rFont val="標楷體"/>
        <family val="4"/>
        <charset val="136"/>
      </rPr>
      <t>燒結</t>
    </r>
    <phoneticPr fontId="13" type="noConversion"/>
  </si>
  <si>
    <r>
      <rPr>
        <sz val="12"/>
        <rFont val="標楷體"/>
        <family val="4"/>
        <charset val="136"/>
      </rPr>
      <t>研磨</t>
    </r>
    <phoneticPr fontId="13" type="noConversion"/>
  </si>
  <si>
    <r>
      <rPr>
        <sz val="12"/>
        <rFont val="標楷體"/>
        <family val="4"/>
        <charset val="136"/>
      </rPr>
      <t>塗銀</t>
    </r>
    <phoneticPr fontId="13" type="noConversion"/>
  </si>
  <si>
    <r>
      <rPr>
        <sz val="12"/>
        <rFont val="標楷體"/>
        <family val="4"/>
        <charset val="136"/>
      </rPr>
      <t>燒銀</t>
    </r>
    <phoneticPr fontId="13" type="noConversion"/>
  </si>
  <si>
    <r>
      <rPr>
        <sz val="12"/>
        <rFont val="標楷體"/>
        <family val="4"/>
        <charset val="136"/>
      </rPr>
      <t>電鍍</t>
    </r>
    <phoneticPr fontId="13" type="noConversion"/>
  </si>
  <si>
    <r>
      <rPr>
        <sz val="12"/>
        <rFont val="標楷體"/>
        <family val="4"/>
        <charset val="136"/>
      </rPr>
      <t>選別</t>
    </r>
    <phoneticPr fontId="13" type="noConversion"/>
  </si>
  <si>
    <r>
      <rPr>
        <sz val="12"/>
        <rFont val="標楷體"/>
        <family val="4"/>
        <charset val="136"/>
      </rPr>
      <t>外觀</t>
    </r>
    <phoneticPr fontId="13" type="noConversion"/>
  </si>
  <si>
    <r>
      <rPr>
        <sz val="12"/>
        <rFont val="標楷體"/>
        <family val="4"/>
        <charset val="136"/>
      </rPr>
      <t>矽油</t>
    </r>
    <phoneticPr fontId="1" type="noConversion"/>
  </si>
  <si>
    <r>
      <rPr>
        <sz val="12"/>
        <rFont val="標楷體"/>
        <family val="4"/>
        <charset val="136"/>
      </rPr>
      <t>測包</t>
    </r>
    <phoneticPr fontId="13" type="noConversion"/>
  </si>
  <si>
    <t>PRF</t>
    <phoneticPr fontId="1" type="noConversion"/>
  </si>
  <si>
    <t>`</t>
    <phoneticPr fontId="1" type="noConversion"/>
  </si>
  <si>
    <t>EFF'CY</t>
    <phoneticPr fontId="1" type="noConversion"/>
  </si>
  <si>
    <t>MC Speed</t>
    <phoneticPr fontId="1" type="noConversion"/>
  </si>
  <si>
    <t>預熱</t>
    <phoneticPr fontId="1" type="noConversion"/>
  </si>
  <si>
    <t>矽油</t>
    <phoneticPr fontId="1" type="noConversion"/>
  </si>
  <si>
    <t>Technical Data</t>
    <phoneticPr fontId="14" type="noConversion"/>
  </si>
  <si>
    <t>Man Mins</t>
    <phoneticPr fontId="1" type="noConversion"/>
  </si>
  <si>
    <t>Dir.Cost</t>
    <phoneticPr fontId="1" type="noConversion"/>
  </si>
  <si>
    <t>總價</t>
    <phoneticPr fontId="1" type="noConversion"/>
  </si>
  <si>
    <t>M</t>
    <phoneticPr fontId="1" type="noConversion"/>
  </si>
  <si>
    <t>M</t>
    <phoneticPr fontId="1" type="noConversion"/>
  </si>
  <si>
    <t>Material Consum.</t>
    <phoneticPr fontId="1" type="noConversion"/>
  </si>
  <si>
    <t>4019
內銀膏</t>
    <phoneticPr fontId="1" type="noConversion"/>
  </si>
  <si>
    <t>34815
mark膏</t>
    <phoneticPr fontId="1" type="noConversion"/>
  </si>
  <si>
    <t>4303W
外銀膏</t>
    <phoneticPr fontId="1" type="noConversion"/>
  </si>
  <si>
    <t>料帶18um</t>
    <phoneticPr fontId="3" type="noConversion"/>
  </si>
  <si>
    <t>料帶18um</t>
    <phoneticPr fontId="3" type="noConversion"/>
  </si>
  <si>
    <t>料帶18um</t>
    <phoneticPr fontId="3" type="noConversion"/>
  </si>
  <si>
    <t>直接材料</t>
    <phoneticPr fontId="1" type="noConversion"/>
  </si>
  <si>
    <t>REEL(非抗)
7" *8MM EIAJ</t>
    <phoneticPr fontId="1" type="noConversion"/>
  </si>
  <si>
    <t>TOTAL CONSUM.</t>
    <phoneticPr fontId="1" type="noConversion"/>
  </si>
  <si>
    <t>TAGET COST</t>
    <phoneticPr fontId="14" type="noConversion"/>
  </si>
  <si>
    <t>Product Name</t>
    <phoneticPr fontId="14" type="noConversion"/>
  </si>
  <si>
    <t>Material MRF</t>
    <phoneticPr fontId="1" type="noConversion"/>
  </si>
  <si>
    <t>M'M Rario</t>
    <phoneticPr fontId="1" type="noConversion"/>
  </si>
  <si>
    <t>1005沖孔紙帶(東產)</t>
    <phoneticPr fontId="1" type="noConversion"/>
  </si>
  <si>
    <t>1608沖孔紙帶(東產)</t>
    <phoneticPr fontId="1" type="noConversion"/>
  </si>
  <si>
    <t>1005沖孔紙帶(東產)</t>
    <phoneticPr fontId="1" type="noConversion"/>
  </si>
  <si>
    <t>1608沖孔紙帶(東產)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</si>
</sst>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.00_ "/>
    <numFmt numFmtId="179" formatCode="0.000"/>
    <numFmt numFmtId="180" formatCode="0.0000"/>
    <numFmt numFmtId="181" formatCode="0.0"/>
    <numFmt numFmtId="182" formatCode="0.000_ "/>
  </numFmts>
  <fonts count="43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Times New Roman"/>
      <family val="1"/>
    </font>
    <font>
      <sz val="9"/>
      <name val="細明體"/>
      <family val="3"/>
      <charset val="136"/>
    </font>
    <font>
      <sz val="9"/>
      <name val="新細明體"/>
      <family val="1"/>
      <charset val="136"/>
    </font>
    <font>
      <sz val="16"/>
      <name val="Times New Roman"/>
      <family val="1"/>
    </font>
    <font>
      <sz val="10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20"/>
      <name val="Showcard Gothic"/>
      <family val="5"/>
    </font>
    <font>
      <sz val="20"/>
      <color theme="1"/>
      <name val="Brush Script MT"/>
      <family val="4"/>
    </font>
    <font>
      <sz val="10"/>
      <color theme="1"/>
      <name val="標楷體"/>
      <family val="4"/>
      <charset val="136"/>
    </font>
    <font>
      <sz val="10"/>
      <color rgb="FFFF0000"/>
      <name val="標楷體"/>
      <family val="4"/>
      <charset val="136"/>
    </font>
    <font>
      <sz val="10"/>
      <name val="標楷體"/>
      <family val="4"/>
      <charset val="136"/>
    </font>
    <font>
      <sz val="9"/>
      <name val="新細明體"/>
      <family val="2"/>
      <charset val="136"/>
    </font>
    <font>
      <b/>
      <sz val="12"/>
      <color rgb="FFFF0000"/>
      <name val="新細明體"/>
      <family val="1"/>
      <charset val="136"/>
    </font>
    <font>
      <b/>
      <sz val="12"/>
      <color rgb="FFFF0000"/>
      <name val="Times New Roman"/>
      <family val="1"/>
    </font>
    <font>
      <sz val="10"/>
      <name val="Times New Roman"/>
      <family val="1"/>
    </font>
    <font>
      <b/>
      <sz val="16"/>
      <name val="Times New Roman"/>
      <family val="1"/>
    </font>
    <font>
      <b/>
      <sz val="14"/>
      <name val="Times New Roman"/>
      <family val="1"/>
    </font>
    <font>
      <sz val="12"/>
      <name val="細明體"/>
      <family val="3"/>
      <charset val="136"/>
    </font>
    <font>
      <b/>
      <sz val="10"/>
      <color indexed="10"/>
      <name val="Times New Roman"/>
      <family val="1"/>
    </font>
    <font>
      <sz val="10"/>
      <color rgb="FFFF0000"/>
      <name val="Times New Roman"/>
      <family val="1"/>
    </font>
    <font>
      <b/>
      <sz val="12"/>
      <color indexed="10"/>
      <name val="Times New Roman"/>
      <family val="1"/>
    </font>
    <font>
      <sz val="10"/>
      <color indexed="10"/>
      <name val="Times New Roman"/>
      <family val="1"/>
    </font>
    <font>
      <sz val="12"/>
      <name val="標楷體"/>
      <family val="4"/>
      <charset val="136"/>
    </font>
    <font>
      <b/>
      <sz val="12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Broadway"/>
      <family val="5"/>
    </font>
    <font>
      <b/>
      <sz val="20"/>
      <color theme="1"/>
      <name val="Broadway"/>
      <family val="5"/>
    </font>
    <font>
      <b/>
      <sz val="20"/>
      <name val="Broadway"/>
      <family val="5"/>
    </font>
    <font>
      <sz val="24"/>
      <name val="Broadway"/>
      <family val="5"/>
    </font>
    <font>
      <b/>
      <sz val="14"/>
      <color rgb="FFFF6600"/>
      <name val="Segoe Print"/>
    </font>
    <font>
      <b/>
      <sz val="12"/>
      <name val="新細明體"/>
      <family val="1"/>
      <charset val="136"/>
    </font>
    <font>
      <b/>
      <sz val="1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5"/>
        <bgColor indexed="64"/>
      </patternFill>
    </fill>
  </fills>
  <borders count="8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medium">
        <color rgb="FFC00000"/>
      </bottom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medium">
        <color rgb="FF0070C0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 style="medium">
        <color rgb="FF0070C0"/>
      </top>
      <bottom/>
      <diagonal/>
    </border>
    <border>
      <left/>
      <right/>
      <top/>
      <bottom style="medium">
        <color rgb="FF0070C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n">
        <color indexed="64"/>
      </left>
      <right/>
      <top style="medium">
        <color rgb="FF0070C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rgb="FF0070C0"/>
      </bottom>
      <diagonal/>
    </border>
    <border>
      <left/>
      <right style="thin">
        <color indexed="64"/>
      </right>
      <top style="medium">
        <color rgb="FFC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medium">
        <color rgb="FF00B050"/>
      </left>
      <right style="thin">
        <color indexed="64"/>
      </right>
      <top style="medium">
        <color rgb="FF00B050"/>
      </top>
      <bottom style="thin">
        <color indexed="64"/>
      </bottom>
      <diagonal/>
    </border>
    <border>
      <left style="thin">
        <color indexed="64"/>
      </left>
      <right style="medium">
        <color rgb="FF00B050"/>
      </right>
      <top style="medium">
        <color rgb="FF00B050"/>
      </top>
      <bottom style="thin">
        <color indexed="64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B050"/>
      </right>
      <top style="thin">
        <color indexed="64"/>
      </top>
      <bottom style="thin">
        <color indexed="64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medium">
        <color rgb="FF00B05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16" fillId="0" borderId="0">
      <alignment vertical="center"/>
    </xf>
    <xf numFmtId="0" fontId="6" fillId="0" borderId="0">
      <alignment vertical="center"/>
    </xf>
    <xf numFmtId="0" fontId="25" fillId="0" borderId="0"/>
  </cellStyleXfs>
  <cellXfs count="325">
    <xf numFmtId="0" fontId="0" fillId="0" borderId="0" xfId="0"/>
    <xf numFmtId="0" fontId="0" fillId="0" borderId="2" xfId="0" applyBorder="1"/>
    <xf numFmtId="0" fontId="7" fillId="0" borderId="2" xfId="0" applyFont="1" applyBorder="1"/>
    <xf numFmtId="0" fontId="11" fillId="0" borderId="0" xfId="2" applyFont="1"/>
    <xf numFmtId="0" fontId="2" fillId="0" borderId="0" xfId="2"/>
    <xf numFmtId="0" fontId="2" fillId="0" borderId="0" xfId="2" applyAlignment="1">
      <alignment horizontal="center" vertical="center"/>
    </xf>
    <xf numFmtId="0" fontId="11" fillId="0" borderId="9" xfId="2" applyFont="1" applyFill="1" applyBorder="1" applyAlignment="1">
      <alignment horizontal="center" vertical="center"/>
    </xf>
    <xf numFmtId="0" fontId="11" fillId="0" borderId="10" xfId="2" applyFont="1" applyFill="1" applyBorder="1" applyAlignment="1">
      <alignment horizontal="center" vertical="center"/>
    </xf>
    <xf numFmtId="0" fontId="11" fillId="0" borderId="10" xfId="2" applyFont="1" applyFill="1" applyBorder="1" applyAlignment="1">
      <alignment horizontal="center" vertical="center" wrapText="1"/>
    </xf>
    <xf numFmtId="0" fontId="11" fillId="0" borderId="11" xfId="2" applyFont="1" applyFill="1" applyBorder="1" applyAlignment="1">
      <alignment horizontal="center" vertical="center" wrapText="1"/>
    </xf>
    <xf numFmtId="0" fontId="15" fillId="0" borderId="2" xfId="2" applyFont="1" applyFill="1" applyBorder="1" applyAlignment="1">
      <alignment vertical="center"/>
    </xf>
    <xf numFmtId="0" fontId="15" fillId="0" borderId="2" xfId="2" applyFont="1" applyFill="1" applyBorder="1" applyAlignment="1">
      <alignment horizontal="center" vertical="center"/>
    </xf>
    <xf numFmtId="176" fontId="15" fillId="0" borderId="2" xfId="3" applyNumberFormat="1" applyFont="1" applyFill="1" applyBorder="1" applyAlignment="1">
      <alignment vertical="center"/>
    </xf>
    <xf numFmtId="38" fontId="15" fillId="0" borderId="2" xfId="2" applyNumberFormat="1" applyFont="1" applyFill="1" applyBorder="1" applyAlignment="1">
      <alignment vertical="center"/>
    </xf>
    <xf numFmtId="0" fontId="2" fillId="3" borderId="2" xfId="2" applyFill="1" applyBorder="1"/>
    <xf numFmtId="0" fontId="11" fillId="3" borderId="2" xfId="2" applyFont="1" applyFill="1" applyBorder="1"/>
    <xf numFmtId="0" fontId="2" fillId="0" borderId="2" xfId="2" applyFill="1" applyBorder="1"/>
    <xf numFmtId="0" fontId="11" fillId="0" borderId="2" xfId="2" applyFont="1" applyFill="1" applyBorder="1"/>
    <xf numFmtId="0" fontId="2" fillId="0" borderId="4" xfId="2" applyFill="1" applyBorder="1"/>
    <xf numFmtId="0" fontId="15" fillId="0" borderId="3" xfId="2" applyFont="1" applyFill="1" applyBorder="1" applyAlignment="1">
      <alignment horizontal="center" vertical="center"/>
    </xf>
    <xf numFmtId="0" fontId="15" fillId="0" borderId="2" xfId="2" applyFont="1" applyFill="1" applyBorder="1" applyAlignment="1">
      <alignment horizontal="left" vertical="top"/>
    </xf>
    <xf numFmtId="176" fontId="15" fillId="0" borderId="2" xfId="3" applyNumberFormat="1" applyFont="1" applyFill="1" applyBorder="1" applyAlignment="1">
      <alignment horizontal="center" vertical="center" wrapText="1"/>
    </xf>
    <xf numFmtId="176" fontId="15" fillId="0" borderId="2" xfId="3" applyNumberFormat="1" applyFont="1" applyFill="1" applyBorder="1" applyAlignment="1">
      <alignment horizontal="right" vertical="center" wrapText="1"/>
    </xf>
    <xf numFmtId="0" fontId="15" fillId="0" borderId="2" xfId="2" applyFont="1" applyFill="1" applyBorder="1" applyAlignment="1">
      <alignment horizontal="left" vertical="center" wrapText="1"/>
    </xf>
    <xf numFmtId="176" fontId="15" fillId="0" borderId="2" xfId="3" applyNumberFormat="1" applyFont="1" applyFill="1" applyBorder="1" applyAlignment="1">
      <alignment vertical="center" wrapText="1"/>
    </xf>
    <xf numFmtId="3" fontId="15" fillId="0" borderId="2" xfId="2" applyNumberFormat="1" applyFont="1" applyFill="1" applyBorder="1" applyAlignment="1">
      <alignment vertical="center"/>
    </xf>
    <xf numFmtId="0" fontId="11" fillId="0" borderId="4" xfId="2" applyFont="1" applyFill="1" applyBorder="1"/>
    <xf numFmtId="0" fontId="15" fillId="0" borderId="2" xfId="2" applyFont="1" applyFill="1" applyBorder="1" applyAlignment="1">
      <alignment horizontal="center" vertical="center" wrapText="1"/>
    </xf>
    <xf numFmtId="0" fontId="15" fillId="0" borderId="3" xfId="2" applyFont="1" applyFill="1" applyBorder="1" applyAlignment="1">
      <alignment horizontal="center" vertical="top"/>
    </xf>
    <xf numFmtId="0" fontId="15" fillId="0" borderId="2" xfId="4" applyFont="1" applyFill="1" applyBorder="1">
      <alignment vertical="center"/>
    </xf>
    <xf numFmtId="0" fontId="15" fillId="0" borderId="2" xfId="4" applyFont="1" applyFill="1" applyBorder="1" applyAlignment="1">
      <alignment horizontal="center" vertical="center"/>
    </xf>
    <xf numFmtId="0" fontId="15" fillId="0" borderId="7" xfId="2" applyFont="1" applyFill="1" applyBorder="1" applyAlignment="1">
      <alignment horizontal="center" vertical="top"/>
    </xf>
    <xf numFmtId="0" fontId="15" fillId="0" borderId="15" xfId="4" applyFont="1" applyFill="1" applyBorder="1">
      <alignment vertical="center"/>
    </xf>
    <xf numFmtId="0" fontId="15" fillId="0" borderId="15" xfId="4" applyFont="1" applyFill="1" applyBorder="1" applyAlignment="1">
      <alignment horizontal="center" vertical="center"/>
    </xf>
    <xf numFmtId="38" fontId="15" fillId="0" borderId="15" xfId="2" applyNumberFormat="1" applyFont="1" applyFill="1" applyBorder="1" applyAlignment="1">
      <alignment vertical="center"/>
    </xf>
    <xf numFmtId="0" fontId="2" fillId="3" borderId="15" xfId="2" applyFill="1" applyBorder="1"/>
    <xf numFmtId="0" fontId="2" fillId="0" borderId="15" xfId="2" applyFill="1" applyBorder="1"/>
    <xf numFmtId="0" fontId="11" fillId="0" borderId="15" xfId="2" applyFont="1" applyFill="1" applyBorder="1"/>
    <xf numFmtId="0" fontId="2" fillId="0" borderId="8" xfId="2" applyFill="1" applyBorder="1"/>
    <xf numFmtId="3" fontId="2" fillId="0" borderId="0" xfId="2" applyNumberFormat="1"/>
    <xf numFmtId="0" fontId="0" fillId="2" borderId="16" xfId="0" applyFill="1" applyBorder="1"/>
    <xf numFmtId="0" fontId="0" fillId="2" borderId="17" xfId="0" applyFill="1" applyBorder="1"/>
    <xf numFmtId="0" fontId="0" fillId="2" borderId="1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2" xfId="0" applyFill="1" applyBorder="1"/>
    <xf numFmtId="0" fontId="2" fillId="2" borderId="16" xfId="2" applyFill="1" applyBorder="1"/>
    <xf numFmtId="0" fontId="2" fillId="2" borderId="17" xfId="2" applyFill="1" applyBorder="1"/>
    <xf numFmtId="0" fontId="2" fillId="2" borderId="17" xfId="2" applyFill="1" applyBorder="1" applyAlignment="1">
      <alignment horizontal="center" vertical="center"/>
    </xf>
    <xf numFmtId="0" fontId="2" fillId="2" borderId="1" xfId="2" applyFill="1" applyBorder="1"/>
    <xf numFmtId="0" fontId="11" fillId="2" borderId="18" xfId="2" applyFont="1" applyFill="1" applyBorder="1"/>
    <xf numFmtId="0" fontId="11" fillId="2" borderId="19" xfId="2" applyFont="1" applyFill="1" applyBorder="1"/>
    <xf numFmtId="0" fontId="2" fillId="2" borderId="21" xfId="2" applyFill="1" applyBorder="1"/>
    <xf numFmtId="0" fontId="2" fillId="2" borderId="21" xfId="2" applyFill="1" applyBorder="1" applyAlignment="1">
      <alignment horizontal="center" vertical="center"/>
    </xf>
    <xf numFmtId="0" fontId="2" fillId="2" borderId="22" xfId="2" applyFill="1" applyBorder="1"/>
    <xf numFmtId="0" fontId="0" fillId="2" borderId="0" xfId="0" applyFill="1" applyBorder="1"/>
    <xf numFmtId="0" fontId="7" fillId="2" borderId="0" xfId="0" applyFont="1" applyFill="1" applyAlignment="1">
      <alignment wrapText="1"/>
    </xf>
    <xf numFmtId="0" fontId="7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wrapText="1"/>
    </xf>
    <xf numFmtId="0" fontId="8" fillId="2" borderId="0" xfId="0" applyFont="1" applyFill="1" applyAlignment="1">
      <alignment wrapText="1"/>
    </xf>
    <xf numFmtId="0" fontId="19" fillId="2" borderId="0" xfId="0" applyFont="1" applyFill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wrapText="1"/>
    </xf>
    <xf numFmtId="0" fontId="20" fillId="2" borderId="0" xfId="0" applyFont="1" applyFill="1" applyAlignment="1">
      <alignment wrapText="1"/>
    </xf>
    <xf numFmtId="0" fontId="20" fillId="2" borderId="0" xfId="0" applyFont="1" applyFill="1" applyAlignment="1">
      <alignment horizontal="center" vertical="center" wrapText="1"/>
    </xf>
    <xf numFmtId="0" fontId="21" fillId="2" borderId="2" xfId="1" applyFont="1" applyFill="1" applyBorder="1" applyAlignment="1">
      <alignment horizontal="center"/>
    </xf>
    <xf numFmtId="0" fontId="19" fillId="2" borderId="2" xfId="0" applyFont="1" applyFill="1" applyBorder="1" applyAlignment="1">
      <alignment wrapText="1"/>
    </xf>
    <xf numFmtId="0" fontId="19" fillId="2" borderId="0" xfId="0" applyFont="1" applyFill="1" applyAlignment="1">
      <alignment wrapText="1"/>
    </xf>
    <xf numFmtId="0" fontId="21" fillId="2" borderId="2" xfId="1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wrapText="1"/>
    </xf>
    <xf numFmtId="0" fontId="19" fillId="0" borderId="2" xfId="0" applyFont="1" applyBorder="1" applyAlignment="1">
      <alignment horizontal="center" vertical="center" wrapText="1"/>
    </xf>
    <xf numFmtId="0" fontId="21" fillId="2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7" fillId="0" borderId="24" xfId="0" applyFont="1" applyBorder="1" applyAlignment="1">
      <alignment vertical="center"/>
    </xf>
    <xf numFmtId="0" fontId="7" fillId="0" borderId="24" xfId="0" applyFont="1" applyBorder="1" applyAlignment="1">
      <alignment vertical="center" wrapText="1"/>
    </xf>
    <xf numFmtId="0" fontId="7" fillId="0" borderId="5" xfId="0" applyFont="1" applyBorder="1" applyAlignment="1">
      <alignment horizontal="center" vertical="center"/>
    </xf>
    <xf numFmtId="0" fontId="7" fillId="0" borderId="25" xfId="0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0" fontId="7" fillId="0" borderId="29" xfId="0" applyFont="1" applyBorder="1"/>
    <xf numFmtId="0" fontId="8" fillId="2" borderId="21" xfId="0" applyFont="1" applyFill="1" applyBorder="1"/>
    <xf numFmtId="0" fontId="7" fillId="4" borderId="24" xfId="0" applyFont="1" applyFill="1" applyBorder="1" applyAlignment="1">
      <alignment horizontal="center" vertical="center"/>
    </xf>
    <xf numFmtId="0" fontId="7" fillId="4" borderId="35" xfId="0" applyFont="1" applyFill="1" applyBorder="1" applyAlignment="1">
      <alignment horizontal="center" vertical="center"/>
    </xf>
    <xf numFmtId="0" fontId="7" fillId="0" borderId="36" xfId="0" applyFont="1" applyBorder="1" applyAlignment="1">
      <alignment vertical="center"/>
    </xf>
    <xf numFmtId="0" fontId="7" fillId="0" borderId="36" xfId="0" applyFont="1" applyBorder="1" applyAlignment="1">
      <alignment vertical="center" wrapText="1"/>
    </xf>
    <xf numFmtId="0" fontId="7" fillId="0" borderId="37" xfId="0" applyFont="1" applyBorder="1" applyAlignment="1">
      <alignment vertical="center"/>
    </xf>
    <xf numFmtId="0" fontId="7" fillId="4" borderId="47" xfId="0" applyFont="1" applyFill="1" applyBorder="1" applyAlignment="1">
      <alignment horizontal="center" vertical="center"/>
    </xf>
    <xf numFmtId="0" fontId="7" fillId="0" borderId="48" xfId="0" applyFont="1" applyBorder="1" applyAlignment="1">
      <alignment vertical="center"/>
    </xf>
    <xf numFmtId="0" fontId="7" fillId="0" borderId="42" xfId="0" applyFont="1" applyBorder="1" applyAlignment="1">
      <alignment horizontal="center" vertical="center"/>
    </xf>
    <xf numFmtId="0" fontId="7" fillId="0" borderId="49" xfId="0" applyFont="1" applyBorder="1"/>
    <xf numFmtId="0" fontId="7" fillId="0" borderId="34" xfId="0" applyFont="1" applyBorder="1"/>
    <xf numFmtId="0" fontId="7" fillId="0" borderId="50" xfId="0" applyFont="1" applyBorder="1"/>
    <xf numFmtId="0" fontId="7" fillId="0" borderId="53" xfId="0" applyFont="1" applyBorder="1" applyAlignment="1">
      <alignment vertical="center"/>
    </xf>
    <xf numFmtId="0" fontId="7" fillId="0" borderId="54" xfId="0" applyFont="1" applyBorder="1" applyAlignment="1">
      <alignment vertical="center"/>
    </xf>
    <xf numFmtId="0" fontId="7" fillId="0" borderId="53" xfId="0" applyFont="1" applyBorder="1" applyAlignment="1">
      <alignment vertical="center" wrapText="1"/>
    </xf>
    <xf numFmtId="0" fontId="7" fillId="0" borderId="55" xfId="0" applyFont="1" applyBorder="1" applyAlignment="1">
      <alignment vertical="center"/>
    </xf>
    <xf numFmtId="0" fontId="0" fillId="6" borderId="38" xfId="0" applyFill="1" applyBorder="1"/>
    <xf numFmtId="0" fontId="0" fillId="6" borderId="40" xfId="0" applyFill="1" applyBorder="1"/>
    <xf numFmtId="0" fontId="7" fillId="6" borderId="39" xfId="0" applyFont="1" applyFill="1" applyBorder="1"/>
    <xf numFmtId="0" fontId="0" fillId="6" borderId="41" xfId="0" applyFill="1" applyBorder="1"/>
    <xf numFmtId="0" fontId="0" fillId="7" borderId="43" xfId="0" applyFill="1" applyBorder="1"/>
    <xf numFmtId="0" fontId="0" fillId="7" borderId="44" xfId="0" applyFill="1" applyBorder="1"/>
    <xf numFmtId="0" fontId="7" fillId="7" borderId="45" xfId="0" applyFont="1" applyFill="1" applyBorder="1"/>
    <xf numFmtId="0" fontId="7" fillId="7" borderId="46" xfId="0" applyFont="1" applyFill="1" applyBorder="1"/>
    <xf numFmtId="0" fontId="0" fillId="5" borderId="30" xfId="0" applyFill="1" applyBorder="1"/>
    <xf numFmtId="0" fontId="0" fillId="5" borderId="31" xfId="0" applyFill="1" applyBorder="1"/>
    <xf numFmtId="0" fontId="7" fillId="5" borderId="32" xfId="0" applyFont="1" applyFill="1" applyBorder="1"/>
    <xf numFmtId="0" fontId="0" fillId="5" borderId="32" xfId="0" applyFill="1" applyBorder="1"/>
    <xf numFmtId="0" fontId="0" fillId="5" borderId="33" xfId="0" applyFill="1" applyBorder="1"/>
    <xf numFmtId="0" fontId="7" fillId="0" borderId="24" xfId="0" applyFont="1" applyBorder="1"/>
    <xf numFmtId="0" fontId="7" fillId="4" borderId="24" xfId="0" applyFont="1" applyFill="1" applyBorder="1"/>
    <xf numFmtId="0" fontId="8" fillId="2" borderId="20" xfId="0" applyFont="1" applyFill="1" applyBorder="1" applyAlignment="1">
      <alignment wrapText="1"/>
    </xf>
    <xf numFmtId="0" fontId="7" fillId="4" borderId="51" xfId="0" applyFont="1" applyFill="1" applyBorder="1" applyAlignment="1">
      <alignment horizontal="center" vertical="center"/>
    </xf>
    <xf numFmtId="0" fontId="7" fillId="4" borderId="52" xfId="0" applyFont="1" applyFill="1" applyBorder="1" applyAlignment="1">
      <alignment horizontal="center" vertical="center"/>
    </xf>
    <xf numFmtId="0" fontId="11" fillId="2" borderId="0" xfId="2" applyFont="1" applyFill="1" applyBorder="1"/>
    <xf numFmtId="0" fontId="15" fillId="0" borderId="2" xfId="2" applyFont="1" applyFill="1" applyBorder="1" applyAlignment="1">
      <alignment horizontal="center" vertical="top"/>
    </xf>
    <xf numFmtId="0" fontId="24" fillId="0" borderId="9" xfId="2" applyFont="1" applyFill="1" applyBorder="1" applyAlignment="1">
      <alignment horizontal="center" vertical="center"/>
    </xf>
    <xf numFmtId="0" fontId="25" fillId="0" borderId="0" xfId="6"/>
    <xf numFmtId="177" fontId="25" fillId="0" borderId="0" xfId="6" applyNumberFormat="1"/>
    <xf numFmtId="0" fontId="27" fillId="0" borderId="0" xfId="6" applyFont="1" applyAlignment="1">
      <alignment horizontal="left"/>
    </xf>
    <xf numFmtId="0" fontId="11" fillId="0" borderId="57" xfId="6" applyFont="1" applyBorder="1" applyAlignment="1">
      <alignment horizontal="center"/>
    </xf>
    <xf numFmtId="0" fontId="11" fillId="0" borderId="58" xfId="6" applyFont="1" applyBorder="1" applyAlignment="1">
      <alignment horizontal="center"/>
    </xf>
    <xf numFmtId="177" fontId="11" fillId="0" borderId="58" xfId="6" applyNumberFormat="1" applyFont="1" applyBorder="1" applyAlignment="1">
      <alignment horizontal="center"/>
    </xf>
    <xf numFmtId="178" fontId="11" fillId="0" borderId="57" xfId="6" quotePrefix="1" applyNumberFormat="1" applyFont="1" applyBorder="1" applyAlignment="1">
      <alignment horizontal="center"/>
    </xf>
    <xf numFmtId="0" fontId="11" fillId="0" borderId="58" xfId="6" applyNumberFormat="1" applyFont="1" applyBorder="1" applyAlignment="1">
      <alignment horizontal="center"/>
    </xf>
    <xf numFmtId="177" fontId="11" fillId="0" borderId="58" xfId="6" applyNumberFormat="1" applyFont="1" applyBorder="1" applyAlignment="1">
      <alignment horizontal="right" vertical="center"/>
    </xf>
    <xf numFmtId="0" fontId="11" fillId="0" borderId="58" xfId="6" applyFont="1" applyBorder="1"/>
    <xf numFmtId="0" fontId="28" fillId="0" borderId="60" xfId="6" applyFont="1" applyBorder="1"/>
    <xf numFmtId="179" fontId="11" fillId="0" borderId="14" xfId="6" applyNumberFormat="1" applyFont="1" applyBorder="1"/>
    <xf numFmtId="180" fontId="11" fillId="0" borderId="14" xfId="6" applyNumberFormat="1" applyFont="1" applyBorder="1"/>
    <xf numFmtId="177" fontId="11" fillId="3" borderId="14" xfId="6" applyNumberFormat="1" applyFont="1" applyFill="1" applyBorder="1"/>
    <xf numFmtId="181" fontId="11" fillId="0" borderId="14" xfId="6" applyNumberFormat="1" applyFont="1" applyBorder="1"/>
    <xf numFmtId="181" fontId="11" fillId="0" borderId="0" xfId="6" applyNumberFormat="1" applyFont="1" applyBorder="1"/>
    <xf numFmtId="0" fontId="28" fillId="0" borderId="62" xfId="6" applyFont="1" applyBorder="1"/>
    <xf numFmtId="2" fontId="11" fillId="0" borderId="0" xfId="6" applyNumberFormat="1" applyFont="1" applyBorder="1"/>
    <xf numFmtId="0" fontId="28" fillId="0" borderId="62" xfId="6" applyFont="1" applyFill="1" applyBorder="1"/>
    <xf numFmtId="0" fontId="28" fillId="0" borderId="62" xfId="6" applyFont="1" applyFill="1" applyBorder="1" applyAlignment="1">
      <alignment horizontal="left"/>
    </xf>
    <xf numFmtId="0" fontId="25" fillId="0" borderId="0" xfId="6" applyBorder="1"/>
    <xf numFmtId="182" fontId="11" fillId="0" borderId="2" xfId="6" applyNumberFormat="1" applyFont="1" applyBorder="1"/>
    <xf numFmtId="0" fontId="25" fillId="0" borderId="63" xfId="6" applyBorder="1" applyAlignment="1">
      <alignment vertical="center"/>
    </xf>
    <xf numFmtId="0" fontId="2" fillId="0" borderId="64" xfId="2" applyBorder="1" applyAlignment="1"/>
    <xf numFmtId="0" fontId="25" fillId="0" borderId="58" xfId="6" applyBorder="1" applyAlignment="1">
      <alignment horizontal="center" vertical="center"/>
    </xf>
    <xf numFmtId="0" fontId="25" fillId="0" borderId="64" xfId="6" applyBorder="1" applyAlignment="1">
      <alignment horizontal="center" vertical="center" wrapText="1"/>
    </xf>
    <xf numFmtId="0" fontId="25" fillId="0" borderId="58" xfId="6" applyBorder="1" applyAlignment="1">
      <alignment horizontal="center" vertical="center" wrapText="1"/>
    </xf>
    <xf numFmtId="0" fontId="25" fillId="0" borderId="58" xfId="6" quotePrefix="1" applyBorder="1" applyAlignment="1">
      <alignment horizontal="center" vertical="center" wrapText="1"/>
    </xf>
    <xf numFmtId="0" fontId="25" fillId="0" borderId="58" xfId="6" quotePrefix="1" applyFont="1" applyBorder="1" applyAlignment="1">
      <alignment horizontal="center" vertical="center" wrapText="1"/>
    </xf>
    <xf numFmtId="0" fontId="25" fillId="0" borderId="59" xfId="6" quotePrefix="1" applyBorder="1" applyAlignment="1">
      <alignment horizontal="center" vertical="center"/>
    </xf>
    <xf numFmtId="0" fontId="2" fillId="0" borderId="2" xfId="2" applyBorder="1" applyAlignment="1">
      <alignment vertical="center"/>
    </xf>
    <xf numFmtId="9" fontId="6" fillId="0" borderId="2" xfId="5" applyNumberFormat="1" applyBorder="1" applyAlignment="1">
      <alignment horizontal="left" vertical="center"/>
    </xf>
    <xf numFmtId="0" fontId="11" fillId="0" borderId="2" xfId="6" applyFont="1" applyBorder="1" applyAlignment="1">
      <alignment horizontal="center"/>
    </xf>
    <xf numFmtId="180" fontId="25" fillId="0" borderId="14" xfId="6" applyNumberFormat="1" applyBorder="1"/>
    <xf numFmtId="179" fontId="25" fillId="8" borderId="2" xfId="6" applyNumberFormat="1" applyFill="1" applyBorder="1"/>
    <xf numFmtId="180" fontId="25" fillId="8" borderId="14" xfId="6" applyNumberFormat="1" applyFill="1" applyBorder="1"/>
    <xf numFmtId="180" fontId="25" fillId="0" borderId="2" xfId="6" applyNumberFormat="1" applyBorder="1"/>
    <xf numFmtId="180" fontId="25" fillId="8" borderId="34" xfId="6" applyNumberFormat="1" applyFont="1" applyFill="1" applyBorder="1"/>
    <xf numFmtId="179" fontId="25" fillId="0" borderId="2" xfId="6" applyNumberFormat="1" applyBorder="1"/>
    <xf numFmtId="10" fontId="25" fillId="0" borderId="4" xfId="6" applyNumberFormat="1" applyBorder="1"/>
    <xf numFmtId="0" fontId="25" fillId="0" borderId="0" xfId="6" applyFont="1"/>
    <xf numFmtId="10" fontId="6" fillId="0" borderId="2" xfId="5" applyNumberFormat="1" applyBorder="1" applyAlignment="1">
      <alignment horizontal="left" vertical="center"/>
    </xf>
    <xf numFmtId="0" fontId="27" fillId="2" borderId="34" xfId="6" applyFont="1" applyFill="1" applyBorder="1" applyAlignment="1">
      <alignment horizontal="left" vertical="center"/>
    </xf>
    <xf numFmtId="182" fontId="25" fillId="0" borderId="14" xfId="6" applyNumberFormat="1" applyBorder="1"/>
    <xf numFmtId="0" fontId="6" fillId="0" borderId="2" xfId="5" applyBorder="1" applyAlignment="1">
      <alignment horizontal="left" vertical="center"/>
    </xf>
    <xf numFmtId="179" fontId="25" fillId="0" borderId="14" xfId="6" applyNumberFormat="1" applyBorder="1"/>
    <xf numFmtId="2" fontId="25" fillId="0" borderId="2" xfId="6" applyNumberFormat="1" applyBorder="1"/>
    <xf numFmtId="10" fontId="25" fillId="0" borderId="61" xfId="6" applyNumberFormat="1" applyBorder="1"/>
    <xf numFmtId="0" fontId="2" fillId="0" borderId="15" xfId="2" applyBorder="1" applyAlignment="1">
      <alignment vertical="center"/>
    </xf>
    <xf numFmtId="181" fontId="25" fillId="0" borderId="65" xfId="6" applyNumberFormat="1" applyBorder="1"/>
    <xf numFmtId="0" fontId="25" fillId="9" borderId="66" xfId="6" applyFill="1" applyBorder="1"/>
    <xf numFmtId="0" fontId="25" fillId="9" borderId="67" xfId="6" applyFill="1" applyBorder="1"/>
    <xf numFmtId="0" fontId="29" fillId="9" borderId="67" xfId="6" applyFont="1" applyFill="1" applyBorder="1"/>
    <xf numFmtId="2" fontId="29" fillId="0" borderId="15" xfId="6" applyNumberFormat="1" applyFont="1" applyFill="1" applyBorder="1"/>
    <xf numFmtId="10" fontId="29" fillId="9" borderId="8" xfId="6" applyNumberFormat="1" applyFont="1" applyFill="1" applyBorder="1"/>
    <xf numFmtId="0" fontId="25" fillId="0" borderId="16" xfId="6" applyBorder="1" applyAlignment="1">
      <alignment vertical="center" wrapText="1"/>
    </xf>
    <xf numFmtId="0" fontId="25" fillId="0" borderId="68" xfId="6" applyFont="1" applyBorder="1" applyAlignment="1">
      <alignment vertical="center" wrapText="1"/>
    </xf>
    <xf numFmtId="0" fontId="25" fillId="0" borderId="68" xfId="6" applyBorder="1" applyAlignment="1">
      <alignment horizontal="center" vertical="center" wrapText="1"/>
    </xf>
    <xf numFmtId="10" fontId="25" fillId="0" borderId="69" xfId="6" applyNumberFormat="1" applyBorder="1" applyAlignment="1">
      <alignment horizontal="center" vertical="center" wrapText="1"/>
    </xf>
    <xf numFmtId="0" fontId="25" fillId="0" borderId="57" xfId="6" applyBorder="1" applyAlignment="1">
      <alignment horizontal="center" vertical="center" wrapText="1"/>
    </xf>
    <xf numFmtId="0" fontId="25" fillId="0" borderId="59" xfId="6" applyBorder="1" applyAlignment="1">
      <alignment horizontal="center" vertical="center" wrapText="1"/>
    </xf>
    <xf numFmtId="0" fontId="28" fillId="0" borderId="70" xfId="6" applyFont="1" applyBorder="1"/>
    <xf numFmtId="0" fontId="25" fillId="8" borderId="10" xfId="6" applyFill="1" applyBorder="1"/>
    <xf numFmtId="182" fontId="11" fillId="0" borderId="68" xfId="6" applyNumberFormat="1" applyFont="1" applyBorder="1"/>
    <xf numFmtId="180" fontId="25" fillId="0" borderId="10" xfId="6" applyNumberFormat="1" applyBorder="1"/>
    <xf numFmtId="180" fontId="25" fillId="0" borderId="68" xfId="6" applyNumberFormat="1" applyBorder="1"/>
    <xf numFmtId="179" fontId="25" fillId="8" borderId="10" xfId="6" applyNumberFormat="1" applyFill="1" applyBorder="1"/>
    <xf numFmtId="10" fontId="25" fillId="0" borderId="11" xfId="6" applyNumberFormat="1" applyBorder="1"/>
    <xf numFmtId="2" fontId="25" fillId="0" borderId="9" xfId="6" quotePrefix="1" applyNumberFormat="1" applyBorder="1" applyAlignment="1">
      <alignment horizontal="right" vertical="center"/>
    </xf>
    <xf numFmtId="180" fontId="25" fillId="0" borderId="11" xfId="6" applyNumberFormat="1" applyBorder="1"/>
    <xf numFmtId="0" fontId="28" fillId="0" borderId="71" xfId="6" applyFont="1" applyBorder="1"/>
    <xf numFmtId="0" fontId="25" fillId="8" borderId="2" xfId="6" applyFill="1" applyBorder="1"/>
    <xf numFmtId="180" fontId="25" fillId="0" borderId="34" xfId="6" applyNumberFormat="1" applyBorder="1"/>
    <xf numFmtId="2" fontId="25" fillId="0" borderId="3" xfId="6" quotePrefix="1" applyNumberFormat="1" applyBorder="1" applyAlignment="1">
      <alignment horizontal="right" vertical="center"/>
    </xf>
    <xf numFmtId="180" fontId="25" fillId="0" borderId="4" xfId="6" applyNumberFormat="1" applyBorder="1"/>
    <xf numFmtId="0" fontId="28" fillId="0" borderId="71" xfId="6" applyFont="1" applyFill="1" applyBorder="1"/>
    <xf numFmtId="179" fontId="30" fillId="8" borderId="2" xfId="6" applyNumberFormat="1" applyFont="1" applyFill="1" applyBorder="1"/>
    <xf numFmtId="0" fontId="28" fillId="0" borderId="71" xfId="6" applyFont="1" applyFill="1" applyBorder="1" applyAlignment="1">
      <alignment horizontal="left"/>
    </xf>
    <xf numFmtId="0" fontId="11" fillId="9" borderId="13" xfId="6" applyFont="1" applyFill="1" applyBorder="1"/>
    <xf numFmtId="0" fontId="25" fillId="9" borderId="23" xfId="6" applyFill="1" applyBorder="1" applyAlignment="1">
      <alignment horizontal="centerContinuous"/>
    </xf>
    <xf numFmtId="1" fontId="11" fillId="9" borderId="14" xfId="6" applyNumberFormat="1" applyFont="1" applyFill="1" applyBorder="1"/>
    <xf numFmtId="0" fontId="31" fillId="9" borderId="23" xfId="6" applyFont="1" applyFill="1" applyBorder="1" applyAlignment="1">
      <alignment horizontal="centerContinuous"/>
    </xf>
    <xf numFmtId="179" fontId="32" fillId="9" borderId="14" xfId="6" applyNumberFormat="1" applyFont="1" applyFill="1" applyBorder="1"/>
    <xf numFmtId="10" fontId="25" fillId="9" borderId="61" xfId="6" applyNumberFormat="1" applyFill="1" applyBorder="1"/>
    <xf numFmtId="180" fontId="25" fillId="0" borderId="0" xfId="6" applyNumberFormat="1"/>
    <xf numFmtId="0" fontId="25" fillId="9" borderId="62" xfId="6" applyFill="1" applyBorder="1" applyAlignment="1">
      <alignment horizontal="centerContinuous"/>
    </xf>
    <xf numFmtId="0" fontId="25" fillId="9" borderId="65" xfId="6" applyFill="1" applyBorder="1" applyAlignment="1">
      <alignment horizontal="centerContinuous"/>
    </xf>
    <xf numFmtId="179" fontId="32" fillId="9" borderId="2" xfId="6" applyNumberFormat="1" applyFont="1" applyFill="1" applyBorder="1"/>
    <xf numFmtId="10" fontId="25" fillId="9" borderId="4" xfId="6" applyNumberFormat="1" applyFill="1" applyBorder="1"/>
    <xf numFmtId="0" fontId="11" fillId="9" borderId="72" xfId="6" applyFont="1" applyFill="1" applyBorder="1" applyAlignment="1">
      <alignment horizontal="centerContinuous"/>
    </xf>
    <xf numFmtId="0" fontId="11" fillId="9" borderId="73" xfId="6" applyFont="1" applyFill="1" applyBorder="1" applyAlignment="1">
      <alignment horizontal="centerContinuous"/>
    </xf>
    <xf numFmtId="2" fontId="32" fillId="9" borderId="2" xfId="6" applyNumberFormat="1" applyFont="1" applyFill="1" applyBorder="1"/>
    <xf numFmtId="0" fontId="11" fillId="3" borderId="72" xfId="6" applyFont="1" applyFill="1" applyBorder="1" applyAlignment="1">
      <alignment horizontal="centerContinuous"/>
    </xf>
    <xf numFmtId="0" fontId="11" fillId="3" borderId="73" xfId="6" applyFont="1" applyFill="1" applyBorder="1" applyAlignment="1">
      <alignment horizontal="centerContinuous"/>
    </xf>
    <xf numFmtId="0" fontId="11" fillId="3" borderId="73" xfId="6" applyFont="1" applyFill="1" applyBorder="1" applyAlignment="1">
      <alignment horizontal="center"/>
    </xf>
    <xf numFmtId="2" fontId="32" fillId="3" borderId="2" xfId="6" applyNumberFormat="1" applyFont="1" applyFill="1" applyBorder="1"/>
    <xf numFmtId="10" fontId="25" fillId="3" borderId="4" xfId="6" applyNumberFormat="1" applyFill="1" applyBorder="1"/>
    <xf numFmtId="0" fontId="25" fillId="9" borderId="66" xfId="6" quotePrefix="1" applyFont="1" applyFill="1" applyBorder="1" applyAlignment="1">
      <alignment horizontal="left"/>
    </xf>
    <xf numFmtId="0" fontId="25" fillId="9" borderId="74" xfId="6" applyFill="1" applyBorder="1"/>
    <xf numFmtId="2" fontId="31" fillId="9" borderId="15" xfId="6" applyNumberFormat="1" applyFont="1" applyFill="1" applyBorder="1"/>
    <xf numFmtId="10" fontId="25" fillId="9" borderId="8" xfId="6" applyNumberFormat="1" applyFill="1" applyBorder="1"/>
    <xf numFmtId="0" fontId="25" fillId="0" borderId="0" xfId="6" applyFont="1" applyBorder="1"/>
    <xf numFmtId="0" fontId="7" fillId="2" borderId="2" xfId="0" applyFont="1" applyFill="1" applyBorder="1" applyAlignment="1">
      <alignment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wrapText="1"/>
    </xf>
    <xf numFmtId="0" fontId="21" fillId="2" borderId="2" xfId="0" applyFont="1" applyFill="1" applyBorder="1" applyAlignment="1">
      <alignment wrapText="1"/>
    </xf>
    <xf numFmtId="0" fontId="21" fillId="2" borderId="0" xfId="0" applyFont="1" applyFill="1" applyAlignment="1">
      <alignment wrapText="1"/>
    </xf>
    <xf numFmtId="0" fontId="33" fillId="2" borderId="2" xfId="0" applyFont="1" applyFill="1" applyBorder="1" applyAlignment="1">
      <alignment wrapText="1"/>
    </xf>
    <xf numFmtId="0" fontId="33" fillId="2" borderId="0" xfId="0" applyFont="1" applyFill="1" applyAlignment="1">
      <alignment wrapText="1"/>
    </xf>
    <xf numFmtId="0" fontId="33" fillId="2" borderId="2" xfId="0" applyFont="1" applyFill="1" applyBorder="1" applyAlignment="1">
      <alignment horizontal="center" vertical="center" wrapText="1"/>
    </xf>
    <xf numFmtId="0" fontId="11" fillId="0" borderId="10" xfId="2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vertical="center" wrapText="1"/>
    </xf>
    <xf numFmtId="0" fontId="19" fillId="2" borderId="34" xfId="0" applyFont="1" applyFill="1" applyBorder="1" applyAlignment="1">
      <alignment vertical="center" wrapText="1"/>
    </xf>
    <xf numFmtId="0" fontId="35" fillId="0" borderId="0" xfId="0" applyFont="1"/>
    <xf numFmtId="0" fontId="35" fillId="2" borderId="0" xfId="0" applyFont="1" applyFill="1"/>
    <xf numFmtId="0" fontId="35" fillId="2" borderId="9" xfId="0" applyFont="1" applyFill="1" applyBorder="1"/>
    <xf numFmtId="0" fontId="35" fillId="2" borderId="3" xfId="0" applyFont="1" applyFill="1" applyBorder="1"/>
    <xf numFmtId="182" fontId="36" fillId="2" borderId="77" xfId="0" applyNumberFormat="1" applyFont="1" applyFill="1" applyBorder="1" applyAlignment="1">
      <alignment vertical="center"/>
    </xf>
    <xf numFmtId="182" fontId="35" fillId="2" borderId="77" xfId="0" applyNumberFormat="1" applyFont="1" applyFill="1" applyBorder="1"/>
    <xf numFmtId="182" fontId="35" fillId="2" borderId="78" xfId="0" applyNumberFormat="1" applyFont="1" applyFill="1" applyBorder="1"/>
    <xf numFmtId="182" fontId="11" fillId="2" borderId="10" xfId="6" applyNumberFormat="1" applyFont="1" applyFill="1" applyBorder="1" applyAlignment="1">
      <alignment horizontal="center" vertical="center"/>
    </xf>
    <xf numFmtId="182" fontId="11" fillId="2" borderId="11" xfId="6" applyNumberFormat="1" applyFont="1" applyFill="1" applyBorder="1" applyAlignment="1">
      <alignment horizontal="center" vertical="center"/>
    </xf>
    <xf numFmtId="182" fontId="35" fillId="2" borderId="2" xfId="0" applyNumberFormat="1" applyFont="1" applyFill="1" applyBorder="1"/>
    <xf numFmtId="182" fontId="35" fillId="2" borderId="4" xfId="0" applyNumberFormat="1" applyFont="1" applyFill="1" applyBorder="1"/>
    <xf numFmtId="182" fontId="35" fillId="2" borderId="15" xfId="0" applyNumberFormat="1" applyFont="1" applyFill="1" applyBorder="1"/>
    <xf numFmtId="182" fontId="35" fillId="2" borderId="8" xfId="0" applyNumberFormat="1" applyFont="1" applyFill="1" applyBorder="1"/>
    <xf numFmtId="182" fontId="35" fillId="2" borderId="0" xfId="0" applyNumberFormat="1" applyFont="1" applyFill="1"/>
    <xf numFmtId="182" fontId="35" fillId="0" borderId="0" xfId="0" applyNumberFormat="1" applyFont="1"/>
    <xf numFmtId="0" fontId="37" fillId="2" borderId="63" xfId="0" applyFont="1" applyFill="1" applyBorder="1" applyAlignment="1">
      <alignment vertical="center"/>
    </xf>
    <xf numFmtId="0" fontId="11" fillId="0" borderId="2" xfId="2" applyFont="1" applyFill="1" applyBorder="1" applyAlignment="1">
      <alignment horizontal="center" vertical="center"/>
    </xf>
    <xf numFmtId="0" fontId="24" fillId="0" borderId="2" xfId="2" applyFont="1" applyFill="1" applyBorder="1" applyAlignment="1">
      <alignment horizontal="center" vertical="center"/>
    </xf>
    <xf numFmtId="0" fontId="11" fillId="0" borderId="2" xfId="2" applyFont="1" applyFill="1" applyBorder="1" applyAlignment="1">
      <alignment horizontal="center" vertical="center" wrapText="1"/>
    </xf>
    <xf numFmtId="0" fontId="38" fillId="2" borderId="63" xfId="0" applyFont="1" applyFill="1" applyBorder="1" applyAlignment="1">
      <alignment vertical="center"/>
    </xf>
    <xf numFmtId="0" fontId="11" fillId="2" borderId="9" xfId="0" applyFont="1" applyFill="1" applyBorder="1"/>
    <xf numFmtId="0" fontId="11" fillId="2" borderId="3" xfId="0" applyFont="1" applyFill="1" applyBorder="1"/>
    <xf numFmtId="0" fontId="11" fillId="2" borderId="0" xfId="0" applyFont="1" applyFill="1"/>
    <xf numFmtId="0" fontId="11" fillId="0" borderId="0" xfId="0" applyFont="1"/>
    <xf numFmtId="0" fontId="28" fillId="0" borderId="66" xfId="6" applyFont="1" applyFill="1" applyBorder="1" applyAlignment="1">
      <alignment horizontal="left"/>
    </xf>
    <xf numFmtId="179" fontId="11" fillId="0" borderId="79" xfId="6" applyNumberFormat="1" applyFont="1" applyBorder="1"/>
    <xf numFmtId="180" fontId="11" fillId="0" borderId="79" xfId="6" applyNumberFormat="1" applyFont="1" applyBorder="1"/>
    <xf numFmtId="181" fontId="11" fillId="0" borderId="79" xfId="6" applyNumberFormat="1" applyFont="1" applyBorder="1"/>
    <xf numFmtId="2" fontId="11" fillId="3" borderId="14" xfId="6" applyNumberFormat="1" applyFont="1" applyFill="1" applyBorder="1"/>
    <xf numFmtId="0" fontId="25" fillId="0" borderId="79" xfId="6" applyBorder="1" applyAlignment="1">
      <alignment horizontal="center" vertical="center"/>
    </xf>
    <xf numFmtId="0" fontId="25" fillId="0" borderId="80" xfId="6" applyBorder="1" applyAlignment="1">
      <alignment horizontal="center" vertical="center" wrapText="1"/>
    </xf>
    <xf numFmtId="0" fontId="25" fillId="0" borderId="79" xfId="6" applyBorder="1" applyAlignment="1">
      <alignment horizontal="center" vertical="center" wrapText="1"/>
    </xf>
    <xf numFmtId="0" fontId="25" fillId="0" borderId="79" xfId="6" quotePrefix="1" applyBorder="1" applyAlignment="1">
      <alignment horizontal="center" vertical="center" wrapText="1"/>
    </xf>
    <xf numFmtId="0" fontId="25" fillId="0" borderId="79" xfId="6" quotePrefix="1" applyFont="1" applyBorder="1" applyAlignment="1">
      <alignment horizontal="center" vertical="center" wrapText="1"/>
    </xf>
    <xf numFmtId="0" fontId="25" fillId="0" borderId="81" xfId="6" quotePrefix="1" applyBorder="1" applyAlignment="1">
      <alignment horizontal="center" vertical="center"/>
    </xf>
    <xf numFmtId="0" fontId="25" fillId="0" borderId="59" xfId="6" applyFont="1" applyBorder="1"/>
    <xf numFmtId="0" fontId="25" fillId="0" borderId="59" xfId="6" applyBorder="1"/>
    <xf numFmtId="181" fontId="25" fillId="0" borderId="61" xfId="6" applyNumberFormat="1" applyBorder="1"/>
    <xf numFmtId="177" fontId="11" fillId="3" borderId="79" xfId="6" applyNumberFormat="1" applyFont="1" applyFill="1" applyBorder="1"/>
    <xf numFmtId="2" fontId="11" fillId="3" borderId="79" xfId="6" applyNumberFormat="1" applyFont="1" applyFill="1" applyBorder="1"/>
    <xf numFmtId="181" fontId="25" fillId="0" borderId="81" xfId="6" applyNumberFormat="1" applyBorder="1"/>
    <xf numFmtId="0" fontId="7" fillId="0" borderId="2" xfId="0" applyFont="1" applyBorder="1" applyAlignment="1">
      <alignment horizontal="left" vertical="center"/>
    </xf>
    <xf numFmtId="0" fontId="35" fillId="2" borderId="2" xfId="0" applyFont="1" applyFill="1" applyBorder="1"/>
    <xf numFmtId="0" fontId="21" fillId="2" borderId="3" xfId="1" applyFont="1" applyFill="1" applyBorder="1" applyAlignment="1">
      <alignment horizontal="center"/>
    </xf>
    <xf numFmtId="0" fontId="35" fillId="2" borderId="4" xfId="0" applyFont="1" applyFill="1" applyBorder="1"/>
    <xf numFmtId="0" fontId="20" fillId="2" borderId="3" xfId="0" applyFont="1" applyFill="1" applyBorder="1" applyAlignment="1">
      <alignment horizontal="center" vertical="center" wrapText="1"/>
    </xf>
    <xf numFmtId="0" fontId="35" fillId="2" borderId="7" xfId="0" applyFont="1" applyFill="1" applyBorder="1"/>
    <xf numFmtId="0" fontId="35" fillId="2" borderId="15" xfId="0" applyFont="1" applyFill="1" applyBorder="1"/>
    <xf numFmtId="0" fontId="35" fillId="2" borderId="8" xfId="0" applyFont="1" applyFill="1" applyBorder="1"/>
    <xf numFmtId="0" fontId="35" fillId="2" borderId="77" xfId="0" applyFont="1" applyFill="1" applyBorder="1"/>
    <xf numFmtId="0" fontId="35" fillId="2" borderId="78" xfId="0" applyFont="1" applyFill="1" applyBorder="1"/>
    <xf numFmtId="0" fontId="35" fillId="2" borderId="9" xfId="0" applyFont="1" applyFill="1" applyBorder="1" applyAlignment="1">
      <alignment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2" fillId="2" borderId="2" xfId="2" applyFill="1" applyBorder="1" applyAlignment="1">
      <alignment vertical="center"/>
    </xf>
    <xf numFmtId="9" fontId="6" fillId="2" borderId="2" xfId="5" applyNumberFormat="1" applyFill="1" applyBorder="1" applyAlignment="1">
      <alignment horizontal="left" vertical="center"/>
    </xf>
    <xf numFmtId="10" fontId="6" fillId="2" borderId="2" xfId="5" applyNumberFormat="1" applyFill="1" applyBorder="1" applyAlignment="1">
      <alignment horizontal="left" vertical="center"/>
    </xf>
    <xf numFmtId="0" fontId="6" fillId="2" borderId="2" xfId="5" applyFill="1" applyBorder="1" applyAlignment="1">
      <alignment horizontal="left" vertical="center"/>
    </xf>
    <xf numFmtId="0" fontId="2" fillId="2" borderId="15" xfId="2" applyFill="1" applyBorder="1" applyAlignment="1">
      <alignment vertical="center"/>
    </xf>
    <xf numFmtId="0" fontId="41" fillId="2" borderId="80" xfId="2" applyFont="1" applyFill="1" applyBorder="1" applyAlignment="1"/>
    <xf numFmtId="0" fontId="34" fillId="2" borderId="20" xfId="6" applyFont="1" applyFill="1" applyBorder="1" applyAlignment="1">
      <alignment vertical="center" wrapText="1"/>
    </xf>
    <xf numFmtId="0" fontId="34" fillId="2" borderId="75" xfId="6" applyFont="1" applyFill="1" applyBorder="1" applyAlignment="1">
      <alignment vertical="center"/>
    </xf>
    <xf numFmtId="0" fontId="42" fillId="2" borderId="76" xfId="6" applyFont="1" applyFill="1" applyBorder="1"/>
    <xf numFmtId="0" fontId="15" fillId="0" borderId="6" xfId="2" applyFont="1" applyFill="1" applyBorder="1" applyAlignment="1">
      <alignment horizontal="center" vertical="center"/>
    </xf>
    <xf numFmtId="0" fontId="15" fillId="0" borderId="12" xfId="2" applyFont="1" applyFill="1" applyBorder="1" applyAlignment="1">
      <alignment horizontal="center" vertical="center"/>
    </xf>
    <xf numFmtId="0" fontId="15" fillId="0" borderId="13" xfId="2" applyFont="1" applyFill="1" applyBorder="1" applyAlignment="1">
      <alignment horizontal="center" vertical="center"/>
    </xf>
    <xf numFmtId="0" fontId="17" fillId="2" borderId="0" xfId="2" applyFont="1" applyFill="1" applyBorder="1" applyAlignment="1">
      <alignment horizontal="center" vertical="center"/>
    </xf>
    <xf numFmtId="0" fontId="11" fillId="0" borderId="10" xfId="2" applyFont="1" applyFill="1" applyBorder="1" applyAlignment="1">
      <alignment horizontal="center" vertical="center"/>
    </xf>
    <xf numFmtId="0" fontId="23" fillId="2" borderId="20" xfId="2" applyFont="1" applyFill="1" applyBorder="1" applyAlignment="1">
      <alignment horizontal="left" wrapText="1"/>
    </xf>
    <xf numFmtId="0" fontId="23" fillId="2" borderId="21" xfId="2" applyFont="1" applyFill="1" applyBorder="1" applyAlignment="1">
      <alignment horizontal="left" wrapText="1"/>
    </xf>
    <xf numFmtId="0" fontId="18" fillId="2" borderId="0" xfId="0" applyFont="1" applyFill="1" applyAlignment="1">
      <alignment horizontal="center" vertical="center" wrapText="1"/>
    </xf>
    <xf numFmtId="0" fontId="18" fillId="2" borderId="23" xfId="0" applyFont="1" applyFill="1" applyBorder="1" applyAlignment="1">
      <alignment horizontal="center" vertical="center" wrapText="1"/>
    </xf>
    <xf numFmtId="0" fontId="19" fillId="2" borderId="24" xfId="0" applyFont="1" applyFill="1" applyBorder="1" applyAlignment="1">
      <alignment horizontal="center" vertical="center" wrapText="1"/>
    </xf>
    <xf numFmtId="0" fontId="19" fillId="2" borderId="65" xfId="0" applyFont="1" applyFill="1" applyBorder="1" applyAlignment="1">
      <alignment horizontal="center" vertical="center" wrapText="1"/>
    </xf>
    <xf numFmtId="0" fontId="19" fillId="2" borderId="34" xfId="0" applyFont="1" applyFill="1" applyBorder="1" applyAlignment="1">
      <alignment horizontal="center" vertical="center" wrapText="1"/>
    </xf>
    <xf numFmtId="0" fontId="7" fillId="4" borderId="14" xfId="0" applyFont="1" applyFill="1" applyBorder="1" applyAlignment="1">
      <alignment horizontal="center"/>
    </xf>
    <xf numFmtId="0" fontId="18" fillId="2" borderId="17" xfId="0" applyFont="1" applyFill="1" applyBorder="1" applyAlignment="1">
      <alignment horizontal="left" vertical="center"/>
    </xf>
    <xf numFmtId="0" fontId="18" fillId="2" borderId="0" xfId="0" applyFont="1" applyFill="1" applyBorder="1" applyAlignment="1">
      <alignment horizontal="left" vertical="center"/>
    </xf>
    <xf numFmtId="0" fontId="18" fillId="2" borderId="21" xfId="0" applyFont="1" applyFill="1" applyBorder="1" applyAlignment="1">
      <alignment horizontal="left" vertical="center"/>
    </xf>
    <xf numFmtId="0" fontId="7" fillId="4" borderId="56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39" fillId="0" borderId="16" xfId="6" applyFont="1" applyBorder="1" applyAlignment="1">
      <alignment horizontal="center" vertical="center"/>
    </xf>
    <xf numFmtId="0" fontId="39" fillId="0" borderId="17" xfId="6" applyFont="1" applyBorder="1" applyAlignment="1">
      <alignment horizontal="center" vertical="center"/>
    </xf>
    <xf numFmtId="0" fontId="39" fillId="0" borderId="1" xfId="6" applyFont="1" applyBorder="1" applyAlignment="1">
      <alignment horizontal="center" vertical="center"/>
    </xf>
    <xf numFmtId="0" fontId="39" fillId="0" borderId="18" xfId="6" applyFont="1" applyBorder="1" applyAlignment="1">
      <alignment horizontal="center" vertical="center"/>
    </xf>
    <xf numFmtId="0" fontId="39" fillId="0" borderId="0" xfId="6" applyFont="1" applyBorder="1" applyAlignment="1">
      <alignment horizontal="center" vertical="center"/>
    </xf>
    <xf numFmtId="0" fontId="39" fillId="0" borderId="19" xfId="6" applyFont="1" applyBorder="1" applyAlignment="1">
      <alignment horizontal="center" vertical="center"/>
    </xf>
    <xf numFmtId="0" fontId="39" fillId="0" borderId="20" xfId="6" applyFont="1" applyBorder="1" applyAlignment="1">
      <alignment horizontal="center" vertical="center"/>
    </xf>
    <xf numFmtId="0" fontId="39" fillId="0" borderId="21" xfId="6" applyFont="1" applyBorder="1" applyAlignment="1">
      <alignment horizontal="center" vertical="center"/>
    </xf>
    <xf numFmtId="0" fontId="39" fillId="0" borderId="22" xfId="6" applyFont="1" applyBorder="1" applyAlignment="1">
      <alignment horizontal="center" vertical="center"/>
    </xf>
    <xf numFmtId="0" fontId="26" fillId="0" borderId="0" xfId="6" applyFont="1" applyAlignment="1">
      <alignment horizontal="center" vertical="center"/>
    </xf>
    <xf numFmtId="0" fontId="15" fillId="0" borderId="2" xfId="2" applyFont="1" applyFill="1" applyBorder="1" applyAlignment="1">
      <alignment horizontal="center" vertical="center"/>
    </xf>
    <xf numFmtId="0" fontId="11" fillId="0" borderId="2" xfId="2" applyFont="1" applyFill="1" applyBorder="1" applyAlignment="1">
      <alignment horizontal="center" vertical="center"/>
    </xf>
  </cellXfs>
  <cellStyles count="7">
    <cellStyle name="一般" xfId="0" builtinId="0"/>
    <cellStyle name="一般 2" xfId="2"/>
    <cellStyle name="一般 2 3" xfId="4"/>
    <cellStyle name="一般 3" xfId="5"/>
    <cellStyle name="一般_Construction -original" xfId="1"/>
    <cellStyle name="一般_MLCI-Dry_Cost" xfId="6"/>
    <cellStyle name="千分位 2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463550</xdr:colOff>
          <xdr:row>0</xdr:row>
          <xdr:rowOff>69850</xdr:rowOff>
        </xdr:from>
        <xdr:to>
          <xdr:col>11</xdr:col>
          <xdr:colOff>114300</xdr:colOff>
          <xdr:row>2</xdr:row>
          <xdr:rowOff>184150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109728" rIns="54864" bIns="109728" anchor="ctr" upright="1"/>
            <a:lstStyle/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FF6600"/>
                  </a:solidFill>
                  <a:latin typeface="Segoe Print"/>
                </a:rPr>
                <a:t>Create  or  Read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st/MCI_cost_2020_11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人工小時"/>
      <sheetName val="機器小時-MCI"/>
      <sheetName val="MCI Machine_List"/>
      <sheetName val="MCI_Design Data_Base"/>
      <sheetName val="MCI_材料cost"/>
      <sheetName val="MCI 0603TG1N2_TD"/>
      <sheetName val="MCI 0603TG1N2_TC"/>
      <sheetName val="MCI 0603TG7N5_TD"/>
      <sheetName val="MCI 0603TG7N5_TC"/>
      <sheetName val="MCI 0603TG39N_TD"/>
      <sheetName val="MCI 0603TG39N_TC"/>
      <sheetName val="Summary"/>
    </sheetNames>
    <sheetDataSet>
      <sheetData sheetId="0" refreshError="1"/>
      <sheetData sheetId="1" refreshError="1"/>
      <sheetData sheetId="2" refreshError="1"/>
      <sheetData sheetId="3">
        <row r="5">
          <cell r="G5">
            <v>79968</v>
          </cell>
          <cell r="J5">
            <v>4</v>
          </cell>
          <cell r="M5">
            <v>4</v>
          </cell>
          <cell r="O5">
            <v>12</v>
          </cell>
          <cell r="P5">
            <v>1</v>
          </cell>
        </row>
      </sheetData>
      <sheetData sheetId="4">
        <row r="6">
          <cell r="J6">
            <v>0.18099999999999999</v>
          </cell>
        </row>
        <row r="8">
          <cell r="J8">
            <v>0.18099999999999999</v>
          </cell>
        </row>
        <row r="9">
          <cell r="J9">
            <v>0.18099999999999999</v>
          </cell>
        </row>
        <row r="10">
          <cell r="J10">
            <v>1.1825E-2</v>
          </cell>
        </row>
        <row r="11">
          <cell r="J11">
            <v>1.11E-2</v>
          </cell>
        </row>
        <row r="12">
          <cell r="J12">
            <v>1.896069373832384E-2</v>
          </cell>
        </row>
        <row r="13">
          <cell r="J13">
            <v>2.2000000000000002</v>
          </cell>
        </row>
        <row r="14">
          <cell r="J14">
            <v>2.2000000000000002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3" tint="0.59999389629810485"/>
  </sheetPr>
  <dimension ref="A1:N38"/>
  <sheetViews>
    <sheetView zoomScale="85" zoomScaleNormal="85" workbookViewId="0">
      <selection activeCell="B37" sqref="B37:G37"/>
    </sheetView>
  </sheetViews>
  <sheetFormatPr defaultRowHeight="17"/>
  <cols>
    <col min="1" max="1" width="2.6328125" style="4" customWidth="1"/>
    <col min="2" max="3" width="10.1796875" style="4" customWidth="1"/>
    <col min="4" max="4" width="28" style="4" bestFit="1" customWidth="1"/>
    <col min="5" max="5" width="12.7265625" style="5" customWidth="1"/>
    <col min="6" max="6" width="13.1796875" style="4" customWidth="1"/>
    <col min="7" max="7" width="9.453125" style="4" customWidth="1"/>
    <col min="8" max="8" width="7.26953125" style="4" customWidth="1"/>
    <col min="9" max="9" width="10.6328125" style="4" customWidth="1"/>
    <col min="10" max="10" width="6.7265625" style="4" customWidth="1"/>
    <col min="11" max="11" width="7.54296875" style="4" customWidth="1"/>
    <col min="12" max="12" width="13.7265625" style="4" customWidth="1"/>
    <col min="13" max="14" width="8.7265625" style="4"/>
    <col min="15" max="15" width="12.90625" style="4" bestFit="1" customWidth="1"/>
    <col min="16" max="257" width="8.7265625" style="4"/>
    <col min="258" max="258" width="2.6328125" style="4" customWidth="1"/>
    <col min="259" max="259" width="10.1796875" style="4" customWidth="1"/>
    <col min="260" max="260" width="28" style="4" bestFit="1" customWidth="1"/>
    <col min="261" max="261" width="12.7265625" style="4" customWidth="1"/>
    <col min="262" max="262" width="13.1796875" style="4" customWidth="1"/>
    <col min="263" max="263" width="9.453125" style="4" customWidth="1"/>
    <col min="264" max="264" width="7.26953125" style="4" customWidth="1"/>
    <col min="265" max="265" width="10.6328125" style="4" customWidth="1"/>
    <col min="266" max="266" width="6.7265625" style="4" customWidth="1"/>
    <col min="267" max="267" width="7.54296875" style="4" customWidth="1"/>
    <col min="268" max="268" width="13.7265625" style="4" customWidth="1"/>
    <col min="269" max="270" width="8.7265625" style="4"/>
    <col min="271" max="271" width="12.90625" style="4" bestFit="1" customWidth="1"/>
    <col min="272" max="513" width="8.7265625" style="4"/>
    <col min="514" max="514" width="2.6328125" style="4" customWidth="1"/>
    <col min="515" max="515" width="10.1796875" style="4" customWidth="1"/>
    <col min="516" max="516" width="28" style="4" bestFit="1" customWidth="1"/>
    <col min="517" max="517" width="12.7265625" style="4" customWidth="1"/>
    <col min="518" max="518" width="13.1796875" style="4" customWidth="1"/>
    <col min="519" max="519" width="9.453125" style="4" customWidth="1"/>
    <col min="520" max="520" width="7.26953125" style="4" customWidth="1"/>
    <col min="521" max="521" width="10.6328125" style="4" customWidth="1"/>
    <col min="522" max="522" width="6.7265625" style="4" customWidth="1"/>
    <col min="523" max="523" width="7.54296875" style="4" customWidth="1"/>
    <col min="524" max="524" width="13.7265625" style="4" customWidth="1"/>
    <col min="525" max="526" width="8.7265625" style="4"/>
    <col min="527" max="527" width="12.90625" style="4" bestFit="1" customWidth="1"/>
    <col min="528" max="769" width="8.7265625" style="4"/>
    <col min="770" max="770" width="2.6328125" style="4" customWidth="1"/>
    <col min="771" max="771" width="10.1796875" style="4" customWidth="1"/>
    <col min="772" max="772" width="28" style="4" bestFit="1" customWidth="1"/>
    <col min="773" max="773" width="12.7265625" style="4" customWidth="1"/>
    <col min="774" max="774" width="13.1796875" style="4" customWidth="1"/>
    <col min="775" max="775" width="9.453125" style="4" customWidth="1"/>
    <col min="776" max="776" width="7.26953125" style="4" customWidth="1"/>
    <col min="777" max="777" width="10.6328125" style="4" customWidth="1"/>
    <col min="778" max="778" width="6.7265625" style="4" customWidth="1"/>
    <col min="779" max="779" width="7.54296875" style="4" customWidth="1"/>
    <col min="780" max="780" width="13.7265625" style="4" customWidth="1"/>
    <col min="781" max="782" width="8.7265625" style="4"/>
    <col min="783" max="783" width="12.90625" style="4" bestFit="1" customWidth="1"/>
    <col min="784" max="1025" width="8.7265625" style="4"/>
    <col min="1026" max="1026" width="2.6328125" style="4" customWidth="1"/>
    <col min="1027" max="1027" width="10.1796875" style="4" customWidth="1"/>
    <col min="1028" max="1028" width="28" style="4" bestFit="1" customWidth="1"/>
    <col min="1029" max="1029" width="12.7265625" style="4" customWidth="1"/>
    <col min="1030" max="1030" width="13.1796875" style="4" customWidth="1"/>
    <col min="1031" max="1031" width="9.453125" style="4" customWidth="1"/>
    <col min="1032" max="1032" width="7.26953125" style="4" customWidth="1"/>
    <col min="1033" max="1033" width="10.6328125" style="4" customWidth="1"/>
    <col min="1034" max="1034" width="6.7265625" style="4" customWidth="1"/>
    <col min="1035" max="1035" width="7.54296875" style="4" customWidth="1"/>
    <col min="1036" max="1036" width="13.7265625" style="4" customWidth="1"/>
    <col min="1037" max="1038" width="8.7265625" style="4"/>
    <col min="1039" max="1039" width="12.90625" style="4" bestFit="1" customWidth="1"/>
    <col min="1040" max="1281" width="8.7265625" style="4"/>
    <col min="1282" max="1282" width="2.6328125" style="4" customWidth="1"/>
    <col min="1283" max="1283" width="10.1796875" style="4" customWidth="1"/>
    <col min="1284" max="1284" width="28" style="4" bestFit="1" customWidth="1"/>
    <col min="1285" max="1285" width="12.7265625" style="4" customWidth="1"/>
    <col min="1286" max="1286" width="13.1796875" style="4" customWidth="1"/>
    <col min="1287" max="1287" width="9.453125" style="4" customWidth="1"/>
    <col min="1288" max="1288" width="7.26953125" style="4" customWidth="1"/>
    <col min="1289" max="1289" width="10.6328125" style="4" customWidth="1"/>
    <col min="1290" max="1290" width="6.7265625" style="4" customWidth="1"/>
    <col min="1291" max="1291" width="7.54296875" style="4" customWidth="1"/>
    <col min="1292" max="1292" width="13.7265625" style="4" customWidth="1"/>
    <col min="1293" max="1294" width="8.7265625" style="4"/>
    <col min="1295" max="1295" width="12.90625" style="4" bestFit="1" customWidth="1"/>
    <col min="1296" max="1537" width="8.7265625" style="4"/>
    <col min="1538" max="1538" width="2.6328125" style="4" customWidth="1"/>
    <col min="1539" max="1539" width="10.1796875" style="4" customWidth="1"/>
    <col min="1540" max="1540" width="28" style="4" bestFit="1" customWidth="1"/>
    <col min="1541" max="1541" width="12.7265625" style="4" customWidth="1"/>
    <col min="1542" max="1542" width="13.1796875" style="4" customWidth="1"/>
    <col min="1543" max="1543" width="9.453125" style="4" customWidth="1"/>
    <col min="1544" max="1544" width="7.26953125" style="4" customWidth="1"/>
    <col min="1545" max="1545" width="10.6328125" style="4" customWidth="1"/>
    <col min="1546" max="1546" width="6.7265625" style="4" customWidth="1"/>
    <col min="1547" max="1547" width="7.54296875" style="4" customWidth="1"/>
    <col min="1548" max="1548" width="13.7265625" style="4" customWidth="1"/>
    <col min="1549" max="1550" width="8.7265625" style="4"/>
    <col min="1551" max="1551" width="12.90625" style="4" bestFit="1" customWidth="1"/>
    <col min="1552" max="1793" width="8.7265625" style="4"/>
    <col min="1794" max="1794" width="2.6328125" style="4" customWidth="1"/>
    <col min="1795" max="1795" width="10.1796875" style="4" customWidth="1"/>
    <col min="1796" max="1796" width="28" style="4" bestFit="1" customWidth="1"/>
    <col min="1797" max="1797" width="12.7265625" style="4" customWidth="1"/>
    <col min="1798" max="1798" width="13.1796875" style="4" customWidth="1"/>
    <col min="1799" max="1799" width="9.453125" style="4" customWidth="1"/>
    <col min="1800" max="1800" width="7.26953125" style="4" customWidth="1"/>
    <col min="1801" max="1801" width="10.6328125" style="4" customWidth="1"/>
    <col min="1802" max="1802" width="6.7265625" style="4" customWidth="1"/>
    <col min="1803" max="1803" width="7.54296875" style="4" customWidth="1"/>
    <col min="1804" max="1804" width="13.7265625" style="4" customWidth="1"/>
    <col min="1805" max="1806" width="8.7265625" style="4"/>
    <col min="1807" max="1807" width="12.90625" style="4" bestFit="1" customWidth="1"/>
    <col min="1808" max="2049" width="8.7265625" style="4"/>
    <col min="2050" max="2050" width="2.6328125" style="4" customWidth="1"/>
    <col min="2051" max="2051" width="10.1796875" style="4" customWidth="1"/>
    <col min="2052" max="2052" width="28" style="4" bestFit="1" customWidth="1"/>
    <col min="2053" max="2053" width="12.7265625" style="4" customWidth="1"/>
    <col min="2054" max="2054" width="13.1796875" style="4" customWidth="1"/>
    <col min="2055" max="2055" width="9.453125" style="4" customWidth="1"/>
    <col min="2056" max="2056" width="7.26953125" style="4" customWidth="1"/>
    <col min="2057" max="2057" width="10.6328125" style="4" customWidth="1"/>
    <col min="2058" max="2058" width="6.7265625" style="4" customWidth="1"/>
    <col min="2059" max="2059" width="7.54296875" style="4" customWidth="1"/>
    <col min="2060" max="2060" width="13.7265625" style="4" customWidth="1"/>
    <col min="2061" max="2062" width="8.7265625" style="4"/>
    <col min="2063" max="2063" width="12.90625" style="4" bestFit="1" customWidth="1"/>
    <col min="2064" max="2305" width="8.7265625" style="4"/>
    <col min="2306" max="2306" width="2.6328125" style="4" customWidth="1"/>
    <col min="2307" max="2307" width="10.1796875" style="4" customWidth="1"/>
    <col min="2308" max="2308" width="28" style="4" bestFit="1" customWidth="1"/>
    <col min="2309" max="2309" width="12.7265625" style="4" customWidth="1"/>
    <col min="2310" max="2310" width="13.1796875" style="4" customWidth="1"/>
    <col min="2311" max="2311" width="9.453125" style="4" customWidth="1"/>
    <col min="2312" max="2312" width="7.26953125" style="4" customWidth="1"/>
    <col min="2313" max="2313" width="10.6328125" style="4" customWidth="1"/>
    <col min="2314" max="2314" width="6.7265625" style="4" customWidth="1"/>
    <col min="2315" max="2315" width="7.54296875" style="4" customWidth="1"/>
    <col min="2316" max="2316" width="13.7265625" style="4" customWidth="1"/>
    <col min="2317" max="2318" width="8.7265625" style="4"/>
    <col min="2319" max="2319" width="12.90625" style="4" bestFit="1" customWidth="1"/>
    <col min="2320" max="2561" width="8.7265625" style="4"/>
    <col min="2562" max="2562" width="2.6328125" style="4" customWidth="1"/>
    <col min="2563" max="2563" width="10.1796875" style="4" customWidth="1"/>
    <col min="2564" max="2564" width="28" style="4" bestFit="1" customWidth="1"/>
    <col min="2565" max="2565" width="12.7265625" style="4" customWidth="1"/>
    <col min="2566" max="2566" width="13.1796875" style="4" customWidth="1"/>
    <col min="2567" max="2567" width="9.453125" style="4" customWidth="1"/>
    <col min="2568" max="2568" width="7.26953125" style="4" customWidth="1"/>
    <col min="2569" max="2569" width="10.6328125" style="4" customWidth="1"/>
    <col min="2570" max="2570" width="6.7265625" style="4" customWidth="1"/>
    <col min="2571" max="2571" width="7.54296875" style="4" customWidth="1"/>
    <col min="2572" max="2572" width="13.7265625" style="4" customWidth="1"/>
    <col min="2573" max="2574" width="8.7265625" style="4"/>
    <col min="2575" max="2575" width="12.90625" style="4" bestFit="1" customWidth="1"/>
    <col min="2576" max="2817" width="8.7265625" style="4"/>
    <col min="2818" max="2818" width="2.6328125" style="4" customWidth="1"/>
    <col min="2819" max="2819" width="10.1796875" style="4" customWidth="1"/>
    <col min="2820" max="2820" width="28" style="4" bestFit="1" customWidth="1"/>
    <col min="2821" max="2821" width="12.7265625" style="4" customWidth="1"/>
    <col min="2822" max="2822" width="13.1796875" style="4" customWidth="1"/>
    <col min="2823" max="2823" width="9.453125" style="4" customWidth="1"/>
    <col min="2824" max="2824" width="7.26953125" style="4" customWidth="1"/>
    <col min="2825" max="2825" width="10.6328125" style="4" customWidth="1"/>
    <col min="2826" max="2826" width="6.7265625" style="4" customWidth="1"/>
    <col min="2827" max="2827" width="7.54296875" style="4" customWidth="1"/>
    <col min="2828" max="2828" width="13.7265625" style="4" customWidth="1"/>
    <col min="2829" max="2830" width="8.7265625" style="4"/>
    <col min="2831" max="2831" width="12.90625" style="4" bestFit="1" customWidth="1"/>
    <col min="2832" max="3073" width="8.7265625" style="4"/>
    <col min="3074" max="3074" width="2.6328125" style="4" customWidth="1"/>
    <col min="3075" max="3075" width="10.1796875" style="4" customWidth="1"/>
    <col min="3076" max="3076" width="28" style="4" bestFit="1" customWidth="1"/>
    <col min="3077" max="3077" width="12.7265625" style="4" customWidth="1"/>
    <col min="3078" max="3078" width="13.1796875" style="4" customWidth="1"/>
    <col min="3079" max="3079" width="9.453125" style="4" customWidth="1"/>
    <col min="3080" max="3080" width="7.26953125" style="4" customWidth="1"/>
    <col min="3081" max="3081" width="10.6328125" style="4" customWidth="1"/>
    <col min="3082" max="3082" width="6.7265625" style="4" customWidth="1"/>
    <col min="3083" max="3083" width="7.54296875" style="4" customWidth="1"/>
    <col min="3084" max="3084" width="13.7265625" style="4" customWidth="1"/>
    <col min="3085" max="3086" width="8.7265625" style="4"/>
    <col min="3087" max="3087" width="12.90625" style="4" bestFit="1" customWidth="1"/>
    <col min="3088" max="3329" width="8.7265625" style="4"/>
    <col min="3330" max="3330" width="2.6328125" style="4" customWidth="1"/>
    <col min="3331" max="3331" width="10.1796875" style="4" customWidth="1"/>
    <col min="3332" max="3332" width="28" style="4" bestFit="1" customWidth="1"/>
    <col min="3333" max="3333" width="12.7265625" style="4" customWidth="1"/>
    <col min="3334" max="3334" width="13.1796875" style="4" customWidth="1"/>
    <col min="3335" max="3335" width="9.453125" style="4" customWidth="1"/>
    <col min="3336" max="3336" width="7.26953125" style="4" customWidth="1"/>
    <col min="3337" max="3337" width="10.6328125" style="4" customWidth="1"/>
    <col min="3338" max="3338" width="6.7265625" style="4" customWidth="1"/>
    <col min="3339" max="3339" width="7.54296875" style="4" customWidth="1"/>
    <col min="3340" max="3340" width="13.7265625" style="4" customWidth="1"/>
    <col min="3341" max="3342" width="8.7265625" style="4"/>
    <col min="3343" max="3343" width="12.90625" style="4" bestFit="1" customWidth="1"/>
    <col min="3344" max="3585" width="8.7265625" style="4"/>
    <col min="3586" max="3586" width="2.6328125" style="4" customWidth="1"/>
    <col min="3587" max="3587" width="10.1796875" style="4" customWidth="1"/>
    <col min="3588" max="3588" width="28" style="4" bestFit="1" customWidth="1"/>
    <col min="3589" max="3589" width="12.7265625" style="4" customWidth="1"/>
    <col min="3590" max="3590" width="13.1796875" style="4" customWidth="1"/>
    <col min="3591" max="3591" width="9.453125" style="4" customWidth="1"/>
    <col min="3592" max="3592" width="7.26953125" style="4" customWidth="1"/>
    <col min="3593" max="3593" width="10.6328125" style="4" customWidth="1"/>
    <col min="3594" max="3594" width="6.7265625" style="4" customWidth="1"/>
    <col min="3595" max="3595" width="7.54296875" style="4" customWidth="1"/>
    <col min="3596" max="3596" width="13.7265625" style="4" customWidth="1"/>
    <col min="3597" max="3598" width="8.7265625" style="4"/>
    <col min="3599" max="3599" width="12.90625" style="4" bestFit="1" customWidth="1"/>
    <col min="3600" max="3841" width="8.7265625" style="4"/>
    <col min="3842" max="3842" width="2.6328125" style="4" customWidth="1"/>
    <col min="3843" max="3843" width="10.1796875" style="4" customWidth="1"/>
    <col min="3844" max="3844" width="28" style="4" bestFit="1" customWidth="1"/>
    <col min="3845" max="3845" width="12.7265625" style="4" customWidth="1"/>
    <col min="3846" max="3846" width="13.1796875" style="4" customWidth="1"/>
    <col min="3847" max="3847" width="9.453125" style="4" customWidth="1"/>
    <col min="3848" max="3848" width="7.26953125" style="4" customWidth="1"/>
    <col min="3849" max="3849" width="10.6328125" style="4" customWidth="1"/>
    <col min="3850" max="3850" width="6.7265625" style="4" customWidth="1"/>
    <col min="3851" max="3851" width="7.54296875" style="4" customWidth="1"/>
    <col min="3852" max="3852" width="13.7265625" style="4" customWidth="1"/>
    <col min="3853" max="3854" width="8.7265625" style="4"/>
    <col min="3855" max="3855" width="12.90625" style="4" bestFit="1" customWidth="1"/>
    <col min="3856" max="4097" width="8.7265625" style="4"/>
    <col min="4098" max="4098" width="2.6328125" style="4" customWidth="1"/>
    <col min="4099" max="4099" width="10.1796875" style="4" customWidth="1"/>
    <col min="4100" max="4100" width="28" style="4" bestFit="1" customWidth="1"/>
    <col min="4101" max="4101" width="12.7265625" style="4" customWidth="1"/>
    <col min="4102" max="4102" width="13.1796875" style="4" customWidth="1"/>
    <col min="4103" max="4103" width="9.453125" style="4" customWidth="1"/>
    <col min="4104" max="4104" width="7.26953125" style="4" customWidth="1"/>
    <col min="4105" max="4105" width="10.6328125" style="4" customWidth="1"/>
    <col min="4106" max="4106" width="6.7265625" style="4" customWidth="1"/>
    <col min="4107" max="4107" width="7.54296875" style="4" customWidth="1"/>
    <col min="4108" max="4108" width="13.7265625" style="4" customWidth="1"/>
    <col min="4109" max="4110" width="8.7265625" style="4"/>
    <col min="4111" max="4111" width="12.90625" style="4" bestFit="1" customWidth="1"/>
    <col min="4112" max="4353" width="8.7265625" style="4"/>
    <col min="4354" max="4354" width="2.6328125" style="4" customWidth="1"/>
    <col min="4355" max="4355" width="10.1796875" style="4" customWidth="1"/>
    <col min="4356" max="4356" width="28" style="4" bestFit="1" customWidth="1"/>
    <col min="4357" max="4357" width="12.7265625" style="4" customWidth="1"/>
    <col min="4358" max="4358" width="13.1796875" style="4" customWidth="1"/>
    <col min="4359" max="4359" width="9.453125" style="4" customWidth="1"/>
    <col min="4360" max="4360" width="7.26953125" style="4" customWidth="1"/>
    <col min="4361" max="4361" width="10.6328125" style="4" customWidth="1"/>
    <col min="4362" max="4362" width="6.7265625" style="4" customWidth="1"/>
    <col min="4363" max="4363" width="7.54296875" style="4" customWidth="1"/>
    <col min="4364" max="4364" width="13.7265625" style="4" customWidth="1"/>
    <col min="4365" max="4366" width="8.7265625" style="4"/>
    <col min="4367" max="4367" width="12.90625" style="4" bestFit="1" customWidth="1"/>
    <col min="4368" max="4609" width="8.7265625" style="4"/>
    <col min="4610" max="4610" width="2.6328125" style="4" customWidth="1"/>
    <col min="4611" max="4611" width="10.1796875" style="4" customWidth="1"/>
    <col min="4612" max="4612" width="28" style="4" bestFit="1" customWidth="1"/>
    <col min="4613" max="4613" width="12.7265625" style="4" customWidth="1"/>
    <col min="4614" max="4614" width="13.1796875" style="4" customWidth="1"/>
    <col min="4615" max="4615" width="9.453125" style="4" customWidth="1"/>
    <col min="4616" max="4616" width="7.26953125" style="4" customWidth="1"/>
    <col min="4617" max="4617" width="10.6328125" style="4" customWidth="1"/>
    <col min="4618" max="4618" width="6.7265625" style="4" customWidth="1"/>
    <col min="4619" max="4619" width="7.54296875" style="4" customWidth="1"/>
    <col min="4620" max="4620" width="13.7265625" style="4" customWidth="1"/>
    <col min="4621" max="4622" width="8.7265625" style="4"/>
    <col min="4623" max="4623" width="12.90625" style="4" bestFit="1" customWidth="1"/>
    <col min="4624" max="4865" width="8.7265625" style="4"/>
    <col min="4866" max="4866" width="2.6328125" style="4" customWidth="1"/>
    <col min="4867" max="4867" width="10.1796875" style="4" customWidth="1"/>
    <col min="4868" max="4868" width="28" style="4" bestFit="1" customWidth="1"/>
    <col min="4869" max="4869" width="12.7265625" style="4" customWidth="1"/>
    <col min="4870" max="4870" width="13.1796875" style="4" customWidth="1"/>
    <col min="4871" max="4871" width="9.453125" style="4" customWidth="1"/>
    <col min="4872" max="4872" width="7.26953125" style="4" customWidth="1"/>
    <col min="4873" max="4873" width="10.6328125" style="4" customWidth="1"/>
    <col min="4874" max="4874" width="6.7265625" style="4" customWidth="1"/>
    <col min="4875" max="4875" width="7.54296875" style="4" customWidth="1"/>
    <col min="4876" max="4876" width="13.7265625" style="4" customWidth="1"/>
    <col min="4877" max="4878" width="8.7265625" style="4"/>
    <col min="4879" max="4879" width="12.90625" style="4" bestFit="1" customWidth="1"/>
    <col min="4880" max="5121" width="8.7265625" style="4"/>
    <col min="5122" max="5122" width="2.6328125" style="4" customWidth="1"/>
    <col min="5123" max="5123" width="10.1796875" style="4" customWidth="1"/>
    <col min="5124" max="5124" width="28" style="4" bestFit="1" customWidth="1"/>
    <col min="5125" max="5125" width="12.7265625" style="4" customWidth="1"/>
    <col min="5126" max="5126" width="13.1796875" style="4" customWidth="1"/>
    <col min="5127" max="5127" width="9.453125" style="4" customWidth="1"/>
    <col min="5128" max="5128" width="7.26953125" style="4" customWidth="1"/>
    <col min="5129" max="5129" width="10.6328125" style="4" customWidth="1"/>
    <col min="5130" max="5130" width="6.7265625" style="4" customWidth="1"/>
    <col min="5131" max="5131" width="7.54296875" style="4" customWidth="1"/>
    <col min="5132" max="5132" width="13.7265625" style="4" customWidth="1"/>
    <col min="5133" max="5134" width="8.7265625" style="4"/>
    <col min="5135" max="5135" width="12.90625" style="4" bestFit="1" customWidth="1"/>
    <col min="5136" max="5377" width="8.7265625" style="4"/>
    <col min="5378" max="5378" width="2.6328125" style="4" customWidth="1"/>
    <col min="5379" max="5379" width="10.1796875" style="4" customWidth="1"/>
    <col min="5380" max="5380" width="28" style="4" bestFit="1" customWidth="1"/>
    <col min="5381" max="5381" width="12.7265625" style="4" customWidth="1"/>
    <col min="5382" max="5382" width="13.1796875" style="4" customWidth="1"/>
    <col min="5383" max="5383" width="9.453125" style="4" customWidth="1"/>
    <col min="5384" max="5384" width="7.26953125" style="4" customWidth="1"/>
    <col min="5385" max="5385" width="10.6328125" style="4" customWidth="1"/>
    <col min="5386" max="5386" width="6.7265625" style="4" customWidth="1"/>
    <col min="5387" max="5387" width="7.54296875" style="4" customWidth="1"/>
    <col min="5388" max="5388" width="13.7265625" style="4" customWidth="1"/>
    <col min="5389" max="5390" width="8.7265625" style="4"/>
    <col min="5391" max="5391" width="12.90625" style="4" bestFit="1" customWidth="1"/>
    <col min="5392" max="5633" width="8.7265625" style="4"/>
    <col min="5634" max="5634" width="2.6328125" style="4" customWidth="1"/>
    <col min="5635" max="5635" width="10.1796875" style="4" customWidth="1"/>
    <col min="5636" max="5636" width="28" style="4" bestFit="1" customWidth="1"/>
    <col min="5637" max="5637" width="12.7265625" style="4" customWidth="1"/>
    <col min="5638" max="5638" width="13.1796875" style="4" customWidth="1"/>
    <col min="5639" max="5639" width="9.453125" style="4" customWidth="1"/>
    <col min="5640" max="5640" width="7.26953125" style="4" customWidth="1"/>
    <col min="5641" max="5641" width="10.6328125" style="4" customWidth="1"/>
    <col min="5642" max="5642" width="6.7265625" style="4" customWidth="1"/>
    <col min="5643" max="5643" width="7.54296875" style="4" customWidth="1"/>
    <col min="5644" max="5644" width="13.7265625" style="4" customWidth="1"/>
    <col min="5645" max="5646" width="8.7265625" style="4"/>
    <col min="5647" max="5647" width="12.90625" style="4" bestFit="1" customWidth="1"/>
    <col min="5648" max="5889" width="8.7265625" style="4"/>
    <col min="5890" max="5890" width="2.6328125" style="4" customWidth="1"/>
    <col min="5891" max="5891" width="10.1796875" style="4" customWidth="1"/>
    <col min="5892" max="5892" width="28" style="4" bestFit="1" customWidth="1"/>
    <col min="5893" max="5893" width="12.7265625" style="4" customWidth="1"/>
    <col min="5894" max="5894" width="13.1796875" style="4" customWidth="1"/>
    <col min="5895" max="5895" width="9.453125" style="4" customWidth="1"/>
    <col min="5896" max="5896" width="7.26953125" style="4" customWidth="1"/>
    <col min="5897" max="5897" width="10.6328125" style="4" customWidth="1"/>
    <col min="5898" max="5898" width="6.7265625" style="4" customWidth="1"/>
    <col min="5899" max="5899" width="7.54296875" style="4" customWidth="1"/>
    <col min="5900" max="5900" width="13.7265625" style="4" customWidth="1"/>
    <col min="5901" max="5902" width="8.7265625" style="4"/>
    <col min="5903" max="5903" width="12.90625" style="4" bestFit="1" customWidth="1"/>
    <col min="5904" max="6145" width="8.7265625" style="4"/>
    <col min="6146" max="6146" width="2.6328125" style="4" customWidth="1"/>
    <col min="6147" max="6147" width="10.1796875" style="4" customWidth="1"/>
    <col min="6148" max="6148" width="28" style="4" bestFit="1" customWidth="1"/>
    <col min="6149" max="6149" width="12.7265625" style="4" customWidth="1"/>
    <col min="6150" max="6150" width="13.1796875" style="4" customWidth="1"/>
    <col min="6151" max="6151" width="9.453125" style="4" customWidth="1"/>
    <col min="6152" max="6152" width="7.26953125" style="4" customWidth="1"/>
    <col min="6153" max="6153" width="10.6328125" style="4" customWidth="1"/>
    <col min="6154" max="6154" width="6.7265625" style="4" customWidth="1"/>
    <col min="6155" max="6155" width="7.54296875" style="4" customWidth="1"/>
    <col min="6156" max="6156" width="13.7265625" style="4" customWidth="1"/>
    <col min="6157" max="6158" width="8.7265625" style="4"/>
    <col min="6159" max="6159" width="12.90625" style="4" bestFit="1" customWidth="1"/>
    <col min="6160" max="6401" width="8.7265625" style="4"/>
    <col min="6402" max="6402" width="2.6328125" style="4" customWidth="1"/>
    <col min="6403" max="6403" width="10.1796875" style="4" customWidth="1"/>
    <col min="6404" max="6404" width="28" style="4" bestFit="1" customWidth="1"/>
    <col min="6405" max="6405" width="12.7265625" style="4" customWidth="1"/>
    <col min="6406" max="6406" width="13.1796875" style="4" customWidth="1"/>
    <col min="6407" max="6407" width="9.453125" style="4" customWidth="1"/>
    <col min="6408" max="6408" width="7.26953125" style="4" customWidth="1"/>
    <col min="6409" max="6409" width="10.6328125" style="4" customWidth="1"/>
    <col min="6410" max="6410" width="6.7265625" style="4" customWidth="1"/>
    <col min="6411" max="6411" width="7.54296875" style="4" customWidth="1"/>
    <col min="6412" max="6412" width="13.7265625" style="4" customWidth="1"/>
    <col min="6413" max="6414" width="8.7265625" style="4"/>
    <col min="6415" max="6415" width="12.90625" style="4" bestFit="1" customWidth="1"/>
    <col min="6416" max="6657" width="8.7265625" style="4"/>
    <col min="6658" max="6658" width="2.6328125" style="4" customWidth="1"/>
    <col min="6659" max="6659" width="10.1796875" style="4" customWidth="1"/>
    <col min="6660" max="6660" width="28" style="4" bestFit="1" customWidth="1"/>
    <col min="6661" max="6661" width="12.7265625" style="4" customWidth="1"/>
    <col min="6662" max="6662" width="13.1796875" style="4" customWidth="1"/>
    <col min="6663" max="6663" width="9.453125" style="4" customWidth="1"/>
    <col min="6664" max="6664" width="7.26953125" style="4" customWidth="1"/>
    <col min="6665" max="6665" width="10.6328125" style="4" customWidth="1"/>
    <col min="6666" max="6666" width="6.7265625" style="4" customWidth="1"/>
    <col min="6667" max="6667" width="7.54296875" style="4" customWidth="1"/>
    <col min="6668" max="6668" width="13.7265625" style="4" customWidth="1"/>
    <col min="6669" max="6670" width="8.7265625" style="4"/>
    <col min="6671" max="6671" width="12.90625" style="4" bestFit="1" customWidth="1"/>
    <col min="6672" max="6913" width="8.7265625" style="4"/>
    <col min="6914" max="6914" width="2.6328125" style="4" customWidth="1"/>
    <col min="6915" max="6915" width="10.1796875" style="4" customWidth="1"/>
    <col min="6916" max="6916" width="28" style="4" bestFit="1" customWidth="1"/>
    <col min="6917" max="6917" width="12.7265625" style="4" customWidth="1"/>
    <col min="6918" max="6918" width="13.1796875" style="4" customWidth="1"/>
    <col min="6919" max="6919" width="9.453125" style="4" customWidth="1"/>
    <col min="6920" max="6920" width="7.26953125" style="4" customWidth="1"/>
    <col min="6921" max="6921" width="10.6328125" style="4" customWidth="1"/>
    <col min="6922" max="6922" width="6.7265625" style="4" customWidth="1"/>
    <col min="6923" max="6923" width="7.54296875" style="4" customWidth="1"/>
    <col min="6924" max="6924" width="13.7265625" style="4" customWidth="1"/>
    <col min="6925" max="6926" width="8.7265625" style="4"/>
    <col min="6927" max="6927" width="12.90625" style="4" bestFit="1" customWidth="1"/>
    <col min="6928" max="7169" width="8.7265625" style="4"/>
    <col min="7170" max="7170" width="2.6328125" style="4" customWidth="1"/>
    <col min="7171" max="7171" width="10.1796875" style="4" customWidth="1"/>
    <col min="7172" max="7172" width="28" style="4" bestFit="1" customWidth="1"/>
    <col min="7173" max="7173" width="12.7265625" style="4" customWidth="1"/>
    <col min="7174" max="7174" width="13.1796875" style="4" customWidth="1"/>
    <col min="7175" max="7175" width="9.453125" style="4" customWidth="1"/>
    <col min="7176" max="7176" width="7.26953125" style="4" customWidth="1"/>
    <col min="7177" max="7177" width="10.6328125" style="4" customWidth="1"/>
    <col min="7178" max="7178" width="6.7265625" style="4" customWidth="1"/>
    <col min="7179" max="7179" width="7.54296875" style="4" customWidth="1"/>
    <col min="7180" max="7180" width="13.7265625" style="4" customWidth="1"/>
    <col min="7181" max="7182" width="8.7265625" style="4"/>
    <col min="7183" max="7183" width="12.90625" style="4" bestFit="1" customWidth="1"/>
    <col min="7184" max="7425" width="8.7265625" style="4"/>
    <col min="7426" max="7426" width="2.6328125" style="4" customWidth="1"/>
    <col min="7427" max="7427" width="10.1796875" style="4" customWidth="1"/>
    <col min="7428" max="7428" width="28" style="4" bestFit="1" customWidth="1"/>
    <col min="7429" max="7429" width="12.7265625" style="4" customWidth="1"/>
    <col min="7430" max="7430" width="13.1796875" style="4" customWidth="1"/>
    <col min="7431" max="7431" width="9.453125" style="4" customWidth="1"/>
    <col min="7432" max="7432" width="7.26953125" style="4" customWidth="1"/>
    <col min="7433" max="7433" width="10.6328125" style="4" customWidth="1"/>
    <col min="7434" max="7434" width="6.7265625" style="4" customWidth="1"/>
    <col min="7435" max="7435" width="7.54296875" style="4" customWidth="1"/>
    <col min="7436" max="7436" width="13.7265625" style="4" customWidth="1"/>
    <col min="7437" max="7438" width="8.7265625" style="4"/>
    <col min="7439" max="7439" width="12.90625" style="4" bestFit="1" customWidth="1"/>
    <col min="7440" max="7681" width="8.7265625" style="4"/>
    <col min="7682" max="7682" width="2.6328125" style="4" customWidth="1"/>
    <col min="7683" max="7683" width="10.1796875" style="4" customWidth="1"/>
    <col min="7684" max="7684" width="28" style="4" bestFit="1" customWidth="1"/>
    <col min="7685" max="7685" width="12.7265625" style="4" customWidth="1"/>
    <col min="7686" max="7686" width="13.1796875" style="4" customWidth="1"/>
    <col min="7687" max="7687" width="9.453125" style="4" customWidth="1"/>
    <col min="7688" max="7688" width="7.26953125" style="4" customWidth="1"/>
    <col min="7689" max="7689" width="10.6328125" style="4" customWidth="1"/>
    <col min="7690" max="7690" width="6.7265625" style="4" customWidth="1"/>
    <col min="7691" max="7691" width="7.54296875" style="4" customWidth="1"/>
    <col min="7692" max="7692" width="13.7265625" style="4" customWidth="1"/>
    <col min="7693" max="7694" width="8.7265625" style="4"/>
    <col min="7695" max="7695" width="12.90625" style="4" bestFit="1" customWidth="1"/>
    <col min="7696" max="7937" width="8.7265625" style="4"/>
    <col min="7938" max="7938" width="2.6328125" style="4" customWidth="1"/>
    <col min="7939" max="7939" width="10.1796875" style="4" customWidth="1"/>
    <col min="7940" max="7940" width="28" style="4" bestFit="1" customWidth="1"/>
    <col min="7941" max="7941" width="12.7265625" style="4" customWidth="1"/>
    <col min="7942" max="7942" width="13.1796875" style="4" customWidth="1"/>
    <col min="7943" max="7943" width="9.453125" style="4" customWidth="1"/>
    <col min="7944" max="7944" width="7.26953125" style="4" customWidth="1"/>
    <col min="7945" max="7945" width="10.6328125" style="4" customWidth="1"/>
    <col min="7946" max="7946" width="6.7265625" style="4" customWidth="1"/>
    <col min="7947" max="7947" width="7.54296875" style="4" customWidth="1"/>
    <col min="7948" max="7948" width="13.7265625" style="4" customWidth="1"/>
    <col min="7949" max="7950" width="8.7265625" style="4"/>
    <col min="7951" max="7951" width="12.90625" style="4" bestFit="1" customWidth="1"/>
    <col min="7952" max="8193" width="8.7265625" style="4"/>
    <col min="8194" max="8194" width="2.6328125" style="4" customWidth="1"/>
    <col min="8195" max="8195" width="10.1796875" style="4" customWidth="1"/>
    <col min="8196" max="8196" width="28" style="4" bestFit="1" customWidth="1"/>
    <col min="8197" max="8197" width="12.7265625" style="4" customWidth="1"/>
    <col min="8198" max="8198" width="13.1796875" style="4" customWidth="1"/>
    <col min="8199" max="8199" width="9.453125" style="4" customWidth="1"/>
    <col min="8200" max="8200" width="7.26953125" style="4" customWidth="1"/>
    <col min="8201" max="8201" width="10.6328125" style="4" customWidth="1"/>
    <col min="8202" max="8202" width="6.7265625" style="4" customWidth="1"/>
    <col min="8203" max="8203" width="7.54296875" style="4" customWidth="1"/>
    <col min="8204" max="8204" width="13.7265625" style="4" customWidth="1"/>
    <col min="8205" max="8206" width="8.7265625" style="4"/>
    <col min="8207" max="8207" width="12.90625" style="4" bestFit="1" customWidth="1"/>
    <col min="8208" max="8449" width="8.7265625" style="4"/>
    <col min="8450" max="8450" width="2.6328125" style="4" customWidth="1"/>
    <col min="8451" max="8451" width="10.1796875" style="4" customWidth="1"/>
    <col min="8452" max="8452" width="28" style="4" bestFit="1" customWidth="1"/>
    <col min="8453" max="8453" width="12.7265625" style="4" customWidth="1"/>
    <col min="8454" max="8454" width="13.1796875" style="4" customWidth="1"/>
    <col min="8455" max="8455" width="9.453125" style="4" customWidth="1"/>
    <col min="8456" max="8456" width="7.26953125" style="4" customWidth="1"/>
    <col min="8457" max="8457" width="10.6328125" style="4" customWidth="1"/>
    <col min="8458" max="8458" width="6.7265625" style="4" customWidth="1"/>
    <col min="8459" max="8459" width="7.54296875" style="4" customWidth="1"/>
    <col min="8460" max="8460" width="13.7265625" style="4" customWidth="1"/>
    <col min="8461" max="8462" width="8.7265625" style="4"/>
    <col min="8463" max="8463" width="12.90625" style="4" bestFit="1" customWidth="1"/>
    <col min="8464" max="8705" width="8.7265625" style="4"/>
    <col min="8706" max="8706" width="2.6328125" style="4" customWidth="1"/>
    <col min="8707" max="8707" width="10.1796875" style="4" customWidth="1"/>
    <col min="8708" max="8708" width="28" style="4" bestFit="1" customWidth="1"/>
    <col min="8709" max="8709" width="12.7265625" style="4" customWidth="1"/>
    <col min="8710" max="8710" width="13.1796875" style="4" customWidth="1"/>
    <col min="8711" max="8711" width="9.453125" style="4" customWidth="1"/>
    <col min="8712" max="8712" width="7.26953125" style="4" customWidth="1"/>
    <col min="8713" max="8713" width="10.6328125" style="4" customWidth="1"/>
    <col min="8714" max="8714" width="6.7265625" style="4" customWidth="1"/>
    <col min="8715" max="8715" width="7.54296875" style="4" customWidth="1"/>
    <col min="8716" max="8716" width="13.7265625" style="4" customWidth="1"/>
    <col min="8717" max="8718" width="8.7265625" style="4"/>
    <col min="8719" max="8719" width="12.90625" style="4" bestFit="1" customWidth="1"/>
    <col min="8720" max="8961" width="8.7265625" style="4"/>
    <col min="8962" max="8962" width="2.6328125" style="4" customWidth="1"/>
    <col min="8963" max="8963" width="10.1796875" style="4" customWidth="1"/>
    <col min="8964" max="8964" width="28" style="4" bestFit="1" customWidth="1"/>
    <col min="8965" max="8965" width="12.7265625" style="4" customWidth="1"/>
    <col min="8966" max="8966" width="13.1796875" style="4" customWidth="1"/>
    <col min="8967" max="8967" width="9.453125" style="4" customWidth="1"/>
    <col min="8968" max="8968" width="7.26953125" style="4" customWidth="1"/>
    <col min="8969" max="8969" width="10.6328125" style="4" customWidth="1"/>
    <col min="8970" max="8970" width="6.7265625" style="4" customWidth="1"/>
    <col min="8971" max="8971" width="7.54296875" style="4" customWidth="1"/>
    <col min="8972" max="8972" width="13.7265625" style="4" customWidth="1"/>
    <col min="8973" max="8974" width="8.7265625" style="4"/>
    <col min="8975" max="8975" width="12.90625" style="4" bestFit="1" customWidth="1"/>
    <col min="8976" max="9217" width="8.7265625" style="4"/>
    <col min="9218" max="9218" width="2.6328125" style="4" customWidth="1"/>
    <col min="9219" max="9219" width="10.1796875" style="4" customWidth="1"/>
    <col min="9220" max="9220" width="28" style="4" bestFit="1" customWidth="1"/>
    <col min="9221" max="9221" width="12.7265625" style="4" customWidth="1"/>
    <col min="9222" max="9222" width="13.1796875" style="4" customWidth="1"/>
    <col min="9223" max="9223" width="9.453125" style="4" customWidth="1"/>
    <col min="9224" max="9224" width="7.26953125" style="4" customWidth="1"/>
    <col min="9225" max="9225" width="10.6328125" style="4" customWidth="1"/>
    <col min="9226" max="9226" width="6.7265625" style="4" customWidth="1"/>
    <col min="9227" max="9227" width="7.54296875" style="4" customWidth="1"/>
    <col min="9228" max="9228" width="13.7265625" style="4" customWidth="1"/>
    <col min="9229" max="9230" width="8.7265625" style="4"/>
    <col min="9231" max="9231" width="12.90625" style="4" bestFit="1" customWidth="1"/>
    <col min="9232" max="9473" width="8.7265625" style="4"/>
    <col min="9474" max="9474" width="2.6328125" style="4" customWidth="1"/>
    <col min="9475" max="9475" width="10.1796875" style="4" customWidth="1"/>
    <col min="9476" max="9476" width="28" style="4" bestFit="1" customWidth="1"/>
    <col min="9477" max="9477" width="12.7265625" style="4" customWidth="1"/>
    <col min="9478" max="9478" width="13.1796875" style="4" customWidth="1"/>
    <col min="9479" max="9479" width="9.453125" style="4" customWidth="1"/>
    <col min="9480" max="9480" width="7.26953125" style="4" customWidth="1"/>
    <col min="9481" max="9481" width="10.6328125" style="4" customWidth="1"/>
    <col min="9482" max="9482" width="6.7265625" style="4" customWidth="1"/>
    <col min="9483" max="9483" width="7.54296875" style="4" customWidth="1"/>
    <col min="9484" max="9484" width="13.7265625" style="4" customWidth="1"/>
    <col min="9485" max="9486" width="8.7265625" style="4"/>
    <col min="9487" max="9487" width="12.90625" style="4" bestFit="1" customWidth="1"/>
    <col min="9488" max="9729" width="8.7265625" style="4"/>
    <col min="9730" max="9730" width="2.6328125" style="4" customWidth="1"/>
    <col min="9731" max="9731" width="10.1796875" style="4" customWidth="1"/>
    <col min="9732" max="9732" width="28" style="4" bestFit="1" customWidth="1"/>
    <col min="9733" max="9733" width="12.7265625" style="4" customWidth="1"/>
    <col min="9734" max="9734" width="13.1796875" style="4" customWidth="1"/>
    <col min="9735" max="9735" width="9.453125" style="4" customWidth="1"/>
    <col min="9736" max="9736" width="7.26953125" style="4" customWidth="1"/>
    <col min="9737" max="9737" width="10.6328125" style="4" customWidth="1"/>
    <col min="9738" max="9738" width="6.7265625" style="4" customWidth="1"/>
    <col min="9739" max="9739" width="7.54296875" style="4" customWidth="1"/>
    <col min="9740" max="9740" width="13.7265625" style="4" customWidth="1"/>
    <col min="9741" max="9742" width="8.7265625" style="4"/>
    <col min="9743" max="9743" width="12.90625" style="4" bestFit="1" customWidth="1"/>
    <col min="9744" max="9985" width="8.7265625" style="4"/>
    <col min="9986" max="9986" width="2.6328125" style="4" customWidth="1"/>
    <col min="9987" max="9987" width="10.1796875" style="4" customWidth="1"/>
    <col min="9988" max="9988" width="28" style="4" bestFit="1" customWidth="1"/>
    <col min="9989" max="9989" width="12.7265625" style="4" customWidth="1"/>
    <col min="9990" max="9990" width="13.1796875" style="4" customWidth="1"/>
    <col min="9991" max="9991" width="9.453125" style="4" customWidth="1"/>
    <col min="9992" max="9992" width="7.26953125" style="4" customWidth="1"/>
    <col min="9993" max="9993" width="10.6328125" style="4" customWidth="1"/>
    <col min="9994" max="9994" width="6.7265625" style="4" customWidth="1"/>
    <col min="9995" max="9995" width="7.54296875" style="4" customWidth="1"/>
    <col min="9996" max="9996" width="13.7265625" style="4" customWidth="1"/>
    <col min="9997" max="9998" width="8.7265625" style="4"/>
    <col min="9999" max="9999" width="12.90625" style="4" bestFit="1" customWidth="1"/>
    <col min="10000" max="10241" width="8.7265625" style="4"/>
    <col min="10242" max="10242" width="2.6328125" style="4" customWidth="1"/>
    <col min="10243" max="10243" width="10.1796875" style="4" customWidth="1"/>
    <col min="10244" max="10244" width="28" style="4" bestFit="1" customWidth="1"/>
    <col min="10245" max="10245" width="12.7265625" style="4" customWidth="1"/>
    <col min="10246" max="10246" width="13.1796875" style="4" customWidth="1"/>
    <col min="10247" max="10247" width="9.453125" style="4" customWidth="1"/>
    <col min="10248" max="10248" width="7.26953125" style="4" customWidth="1"/>
    <col min="10249" max="10249" width="10.6328125" style="4" customWidth="1"/>
    <col min="10250" max="10250" width="6.7265625" style="4" customWidth="1"/>
    <col min="10251" max="10251" width="7.54296875" style="4" customWidth="1"/>
    <col min="10252" max="10252" width="13.7265625" style="4" customWidth="1"/>
    <col min="10253" max="10254" width="8.7265625" style="4"/>
    <col min="10255" max="10255" width="12.90625" style="4" bestFit="1" customWidth="1"/>
    <col min="10256" max="10497" width="8.7265625" style="4"/>
    <col min="10498" max="10498" width="2.6328125" style="4" customWidth="1"/>
    <col min="10499" max="10499" width="10.1796875" style="4" customWidth="1"/>
    <col min="10500" max="10500" width="28" style="4" bestFit="1" customWidth="1"/>
    <col min="10501" max="10501" width="12.7265625" style="4" customWidth="1"/>
    <col min="10502" max="10502" width="13.1796875" style="4" customWidth="1"/>
    <col min="10503" max="10503" width="9.453125" style="4" customWidth="1"/>
    <col min="10504" max="10504" width="7.26953125" style="4" customWidth="1"/>
    <col min="10505" max="10505" width="10.6328125" style="4" customWidth="1"/>
    <col min="10506" max="10506" width="6.7265625" style="4" customWidth="1"/>
    <col min="10507" max="10507" width="7.54296875" style="4" customWidth="1"/>
    <col min="10508" max="10508" width="13.7265625" style="4" customWidth="1"/>
    <col min="10509" max="10510" width="8.7265625" style="4"/>
    <col min="10511" max="10511" width="12.90625" style="4" bestFit="1" customWidth="1"/>
    <col min="10512" max="10753" width="8.7265625" style="4"/>
    <col min="10754" max="10754" width="2.6328125" style="4" customWidth="1"/>
    <col min="10755" max="10755" width="10.1796875" style="4" customWidth="1"/>
    <col min="10756" max="10756" width="28" style="4" bestFit="1" customWidth="1"/>
    <col min="10757" max="10757" width="12.7265625" style="4" customWidth="1"/>
    <col min="10758" max="10758" width="13.1796875" style="4" customWidth="1"/>
    <col min="10759" max="10759" width="9.453125" style="4" customWidth="1"/>
    <col min="10760" max="10760" width="7.26953125" style="4" customWidth="1"/>
    <col min="10761" max="10761" width="10.6328125" style="4" customWidth="1"/>
    <col min="10762" max="10762" width="6.7265625" style="4" customWidth="1"/>
    <col min="10763" max="10763" width="7.54296875" style="4" customWidth="1"/>
    <col min="10764" max="10764" width="13.7265625" style="4" customWidth="1"/>
    <col min="10765" max="10766" width="8.7265625" style="4"/>
    <col min="10767" max="10767" width="12.90625" style="4" bestFit="1" customWidth="1"/>
    <col min="10768" max="11009" width="8.7265625" style="4"/>
    <col min="11010" max="11010" width="2.6328125" style="4" customWidth="1"/>
    <col min="11011" max="11011" width="10.1796875" style="4" customWidth="1"/>
    <col min="11012" max="11012" width="28" style="4" bestFit="1" customWidth="1"/>
    <col min="11013" max="11013" width="12.7265625" style="4" customWidth="1"/>
    <col min="11014" max="11014" width="13.1796875" style="4" customWidth="1"/>
    <col min="11015" max="11015" width="9.453125" style="4" customWidth="1"/>
    <col min="11016" max="11016" width="7.26953125" style="4" customWidth="1"/>
    <col min="11017" max="11017" width="10.6328125" style="4" customWidth="1"/>
    <col min="11018" max="11018" width="6.7265625" style="4" customWidth="1"/>
    <col min="11019" max="11019" width="7.54296875" style="4" customWidth="1"/>
    <col min="11020" max="11020" width="13.7265625" style="4" customWidth="1"/>
    <col min="11021" max="11022" width="8.7265625" style="4"/>
    <col min="11023" max="11023" width="12.90625" style="4" bestFit="1" customWidth="1"/>
    <col min="11024" max="11265" width="8.7265625" style="4"/>
    <col min="11266" max="11266" width="2.6328125" style="4" customWidth="1"/>
    <col min="11267" max="11267" width="10.1796875" style="4" customWidth="1"/>
    <col min="11268" max="11268" width="28" style="4" bestFit="1" customWidth="1"/>
    <col min="11269" max="11269" width="12.7265625" style="4" customWidth="1"/>
    <col min="11270" max="11270" width="13.1796875" style="4" customWidth="1"/>
    <col min="11271" max="11271" width="9.453125" style="4" customWidth="1"/>
    <col min="11272" max="11272" width="7.26953125" style="4" customWidth="1"/>
    <col min="11273" max="11273" width="10.6328125" style="4" customWidth="1"/>
    <col min="11274" max="11274" width="6.7265625" style="4" customWidth="1"/>
    <col min="11275" max="11275" width="7.54296875" style="4" customWidth="1"/>
    <col min="11276" max="11276" width="13.7265625" style="4" customWidth="1"/>
    <col min="11277" max="11278" width="8.7265625" style="4"/>
    <col min="11279" max="11279" width="12.90625" style="4" bestFit="1" customWidth="1"/>
    <col min="11280" max="11521" width="8.7265625" style="4"/>
    <col min="11522" max="11522" width="2.6328125" style="4" customWidth="1"/>
    <col min="11523" max="11523" width="10.1796875" style="4" customWidth="1"/>
    <col min="11524" max="11524" width="28" style="4" bestFit="1" customWidth="1"/>
    <col min="11525" max="11525" width="12.7265625" style="4" customWidth="1"/>
    <col min="11526" max="11526" width="13.1796875" style="4" customWidth="1"/>
    <col min="11527" max="11527" width="9.453125" style="4" customWidth="1"/>
    <col min="11528" max="11528" width="7.26953125" style="4" customWidth="1"/>
    <col min="11529" max="11529" width="10.6328125" style="4" customWidth="1"/>
    <col min="11530" max="11530" width="6.7265625" style="4" customWidth="1"/>
    <col min="11531" max="11531" width="7.54296875" style="4" customWidth="1"/>
    <col min="11532" max="11532" width="13.7265625" style="4" customWidth="1"/>
    <col min="11533" max="11534" width="8.7265625" style="4"/>
    <col min="11535" max="11535" width="12.90625" style="4" bestFit="1" customWidth="1"/>
    <col min="11536" max="11777" width="8.7265625" style="4"/>
    <col min="11778" max="11778" width="2.6328125" style="4" customWidth="1"/>
    <col min="11779" max="11779" width="10.1796875" style="4" customWidth="1"/>
    <col min="11780" max="11780" width="28" style="4" bestFit="1" customWidth="1"/>
    <col min="11781" max="11781" width="12.7265625" style="4" customWidth="1"/>
    <col min="11782" max="11782" width="13.1796875" style="4" customWidth="1"/>
    <col min="11783" max="11783" width="9.453125" style="4" customWidth="1"/>
    <col min="11784" max="11784" width="7.26953125" style="4" customWidth="1"/>
    <col min="11785" max="11785" width="10.6328125" style="4" customWidth="1"/>
    <col min="11786" max="11786" width="6.7265625" style="4" customWidth="1"/>
    <col min="11787" max="11787" width="7.54296875" style="4" customWidth="1"/>
    <col min="11788" max="11788" width="13.7265625" style="4" customWidth="1"/>
    <col min="11789" max="11790" width="8.7265625" style="4"/>
    <col min="11791" max="11791" width="12.90625" style="4" bestFit="1" customWidth="1"/>
    <col min="11792" max="12033" width="8.7265625" style="4"/>
    <col min="12034" max="12034" width="2.6328125" style="4" customWidth="1"/>
    <col min="12035" max="12035" width="10.1796875" style="4" customWidth="1"/>
    <col min="12036" max="12036" width="28" style="4" bestFit="1" customWidth="1"/>
    <col min="12037" max="12037" width="12.7265625" style="4" customWidth="1"/>
    <col min="12038" max="12038" width="13.1796875" style="4" customWidth="1"/>
    <col min="12039" max="12039" width="9.453125" style="4" customWidth="1"/>
    <col min="12040" max="12040" width="7.26953125" style="4" customWidth="1"/>
    <col min="12041" max="12041" width="10.6328125" style="4" customWidth="1"/>
    <col min="12042" max="12042" width="6.7265625" style="4" customWidth="1"/>
    <col min="12043" max="12043" width="7.54296875" style="4" customWidth="1"/>
    <col min="12044" max="12044" width="13.7265625" style="4" customWidth="1"/>
    <col min="12045" max="12046" width="8.7265625" style="4"/>
    <col min="12047" max="12047" width="12.90625" style="4" bestFit="1" customWidth="1"/>
    <col min="12048" max="12289" width="8.7265625" style="4"/>
    <col min="12290" max="12290" width="2.6328125" style="4" customWidth="1"/>
    <col min="12291" max="12291" width="10.1796875" style="4" customWidth="1"/>
    <col min="12292" max="12292" width="28" style="4" bestFit="1" customWidth="1"/>
    <col min="12293" max="12293" width="12.7265625" style="4" customWidth="1"/>
    <col min="12294" max="12294" width="13.1796875" style="4" customWidth="1"/>
    <col min="12295" max="12295" width="9.453125" style="4" customWidth="1"/>
    <col min="12296" max="12296" width="7.26953125" style="4" customWidth="1"/>
    <col min="12297" max="12297" width="10.6328125" style="4" customWidth="1"/>
    <col min="12298" max="12298" width="6.7265625" style="4" customWidth="1"/>
    <col min="12299" max="12299" width="7.54296875" style="4" customWidth="1"/>
    <col min="12300" max="12300" width="13.7265625" style="4" customWidth="1"/>
    <col min="12301" max="12302" width="8.7265625" style="4"/>
    <col min="12303" max="12303" width="12.90625" style="4" bestFit="1" customWidth="1"/>
    <col min="12304" max="12545" width="8.7265625" style="4"/>
    <col min="12546" max="12546" width="2.6328125" style="4" customWidth="1"/>
    <col min="12547" max="12547" width="10.1796875" style="4" customWidth="1"/>
    <col min="12548" max="12548" width="28" style="4" bestFit="1" customWidth="1"/>
    <col min="12549" max="12549" width="12.7265625" style="4" customWidth="1"/>
    <col min="12550" max="12550" width="13.1796875" style="4" customWidth="1"/>
    <col min="12551" max="12551" width="9.453125" style="4" customWidth="1"/>
    <col min="12552" max="12552" width="7.26953125" style="4" customWidth="1"/>
    <col min="12553" max="12553" width="10.6328125" style="4" customWidth="1"/>
    <col min="12554" max="12554" width="6.7265625" style="4" customWidth="1"/>
    <col min="12555" max="12555" width="7.54296875" style="4" customWidth="1"/>
    <col min="12556" max="12556" width="13.7265625" style="4" customWidth="1"/>
    <col min="12557" max="12558" width="8.7265625" style="4"/>
    <col min="12559" max="12559" width="12.90625" style="4" bestFit="1" customWidth="1"/>
    <col min="12560" max="12801" width="8.7265625" style="4"/>
    <col min="12802" max="12802" width="2.6328125" style="4" customWidth="1"/>
    <col min="12803" max="12803" width="10.1796875" style="4" customWidth="1"/>
    <col min="12804" max="12804" width="28" style="4" bestFit="1" customWidth="1"/>
    <col min="12805" max="12805" width="12.7265625" style="4" customWidth="1"/>
    <col min="12806" max="12806" width="13.1796875" style="4" customWidth="1"/>
    <col min="12807" max="12807" width="9.453125" style="4" customWidth="1"/>
    <col min="12808" max="12808" width="7.26953125" style="4" customWidth="1"/>
    <col min="12809" max="12809" width="10.6328125" style="4" customWidth="1"/>
    <col min="12810" max="12810" width="6.7265625" style="4" customWidth="1"/>
    <col min="12811" max="12811" width="7.54296875" style="4" customWidth="1"/>
    <col min="12812" max="12812" width="13.7265625" style="4" customWidth="1"/>
    <col min="12813" max="12814" width="8.7265625" style="4"/>
    <col min="12815" max="12815" width="12.90625" style="4" bestFit="1" customWidth="1"/>
    <col min="12816" max="13057" width="8.7265625" style="4"/>
    <col min="13058" max="13058" width="2.6328125" style="4" customWidth="1"/>
    <col min="13059" max="13059" width="10.1796875" style="4" customWidth="1"/>
    <col min="13060" max="13060" width="28" style="4" bestFit="1" customWidth="1"/>
    <col min="13061" max="13061" width="12.7265625" style="4" customWidth="1"/>
    <col min="13062" max="13062" width="13.1796875" style="4" customWidth="1"/>
    <col min="13063" max="13063" width="9.453125" style="4" customWidth="1"/>
    <col min="13064" max="13064" width="7.26953125" style="4" customWidth="1"/>
    <col min="13065" max="13065" width="10.6328125" style="4" customWidth="1"/>
    <col min="13066" max="13066" width="6.7265625" style="4" customWidth="1"/>
    <col min="13067" max="13067" width="7.54296875" style="4" customWidth="1"/>
    <col min="13068" max="13068" width="13.7265625" style="4" customWidth="1"/>
    <col min="13069" max="13070" width="8.7265625" style="4"/>
    <col min="13071" max="13071" width="12.90625" style="4" bestFit="1" customWidth="1"/>
    <col min="13072" max="13313" width="8.7265625" style="4"/>
    <col min="13314" max="13314" width="2.6328125" style="4" customWidth="1"/>
    <col min="13315" max="13315" width="10.1796875" style="4" customWidth="1"/>
    <col min="13316" max="13316" width="28" style="4" bestFit="1" customWidth="1"/>
    <col min="13317" max="13317" width="12.7265625" style="4" customWidth="1"/>
    <col min="13318" max="13318" width="13.1796875" style="4" customWidth="1"/>
    <col min="13319" max="13319" width="9.453125" style="4" customWidth="1"/>
    <col min="13320" max="13320" width="7.26953125" style="4" customWidth="1"/>
    <col min="13321" max="13321" width="10.6328125" style="4" customWidth="1"/>
    <col min="13322" max="13322" width="6.7265625" style="4" customWidth="1"/>
    <col min="13323" max="13323" width="7.54296875" style="4" customWidth="1"/>
    <col min="13324" max="13324" width="13.7265625" style="4" customWidth="1"/>
    <col min="13325" max="13326" width="8.7265625" style="4"/>
    <col min="13327" max="13327" width="12.90625" style="4" bestFit="1" customWidth="1"/>
    <col min="13328" max="13569" width="8.7265625" style="4"/>
    <col min="13570" max="13570" width="2.6328125" style="4" customWidth="1"/>
    <col min="13571" max="13571" width="10.1796875" style="4" customWidth="1"/>
    <col min="13572" max="13572" width="28" style="4" bestFit="1" customWidth="1"/>
    <col min="13573" max="13573" width="12.7265625" style="4" customWidth="1"/>
    <col min="13574" max="13574" width="13.1796875" style="4" customWidth="1"/>
    <col min="13575" max="13575" width="9.453125" style="4" customWidth="1"/>
    <col min="13576" max="13576" width="7.26953125" style="4" customWidth="1"/>
    <col min="13577" max="13577" width="10.6328125" style="4" customWidth="1"/>
    <col min="13578" max="13578" width="6.7265625" style="4" customWidth="1"/>
    <col min="13579" max="13579" width="7.54296875" style="4" customWidth="1"/>
    <col min="13580" max="13580" width="13.7265625" style="4" customWidth="1"/>
    <col min="13581" max="13582" width="8.7265625" style="4"/>
    <col min="13583" max="13583" width="12.90625" style="4" bestFit="1" customWidth="1"/>
    <col min="13584" max="13825" width="8.7265625" style="4"/>
    <col min="13826" max="13826" width="2.6328125" style="4" customWidth="1"/>
    <col min="13827" max="13827" width="10.1796875" style="4" customWidth="1"/>
    <col min="13828" max="13828" width="28" style="4" bestFit="1" customWidth="1"/>
    <col min="13829" max="13829" width="12.7265625" style="4" customWidth="1"/>
    <col min="13830" max="13830" width="13.1796875" style="4" customWidth="1"/>
    <col min="13831" max="13831" width="9.453125" style="4" customWidth="1"/>
    <col min="13832" max="13832" width="7.26953125" style="4" customWidth="1"/>
    <col min="13833" max="13833" width="10.6328125" style="4" customWidth="1"/>
    <col min="13834" max="13834" width="6.7265625" style="4" customWidth="1"/>
    <col min="13835" max="13835" width="7.54296875" style="4" customWidth="1"/>
    <col min="13836" max="13836" width="13.7265625" style="4" customWidth="1"/>
    <col min="13837" max="13838" width="8.7265625" style="4"/>
    <col min="13839" max="13839" width="12.90625" style="4" bestFit="1" customWidth="1"/>
    <col min="13840" max="14081" width="8.7265625" style="4"/>
    <col min="14082" max="14082" width="2.6328125" style="4" customWidth="1"/>
    <col min="14083" max="14083" width="10.1796875" style="4" customWidth="1"/>
    <col min="14084" max="14084" width="28" style="4" bestFit="1" customWidth="1"/>
    <col min="14085" max="14085" width="12.7265625" style="4" customWidth="1"/>
    <col min="14086" max="14086" width="13.1796875" style="4" customWidth="1"/>
    <col min="14087" max="14087" width="9.453125" style="4" customWidth="1"/>
    <col min="14088" max="14088" width="7.26953125" style="4" customWidth="1"/>
    <col min="14089" max="14089" width="10.6328125" style="4" customWidth="1"/>
    <col min="14090" max="14090" width="6.7265625" style="4" customWidth="1"/>
    <col min="14091" max="14091" width="7.54296875" style="4" customWidth="1"/>
    <col min="14092" max="14092" width="13.7265625" style="4" customWidth="1"/>
    <col min="14093" max="14094" width="8.7265625" style="4"/>
    <col min="14095" max="14095" width="12.90625" style="4" bestFit="1" customWidth="1"/>
    <col min="14096" max="14337" width="8.7265625" style="4"/>
    <col min="14338" max="14338" width="2.6328125" style="4" customWidth="1"/>
    <col min="14339" max="14339" width="10.1796875" style="4" customWidth="1"/>
    <col min="14340" max="14340" width="28" style="4" bestFit="1" customWidth="1"/>
    <col min="14341" max="14341" width="12.7265625" style="4" customWidth="1"/>
    <col min="14342" max="14342" width="13.1796875" style="4" customWidth="1"/>
    <col min="14343" max="14343" width="9.453125" style="4" customWidth="1"/>
    <col min="14344" max="14344" width="7.26953125" style="4" customWidth="1"/>
    <col min="14345" max="14345" width="10.6328125" style="4" customWidth="1"/>
    <col min="14346" max="14346" width="6.7265625" style="4" customWidth="1"/>
    <col min="14347" max="14347" width="7.54296875" style="4" customWidth="1"/>
    <col min="14348" max="14348" width="13.7265625" style="4" customWidth="1"/>
    <col min="14349" max="14350" width="8.7265625" style="4"/>
    <col min="14351" max="14351" width="12.90625" style="4" bestFit="1" customWidth="1"/>
    <col min="14352" max="14593" width="8.7265625" style="4"/>
    <col min="14594" max="14594" width="2.6328125" style="4" customWidth="1"/>
    <col min="14595" max="14595" width="10.1796875" style="4" customWidth="1"/>
    <col min="14596" max="14596" width="28" style="4" bestFit="1" customWidth="1"/>
    <col min="14597" max="14597" width="12.7265625" style="4" customWidth="1"/>
    <col min="14598" max="14598" width="13.1796875" style="4" customWidth="1"/>
    <col min="14599" max="14599" width="9.453125" style="4" customWidth="1"/>
    <col min="14600" max="14600" width="7.26953125" style="4" customWidth="1"/>
    <col min="14601" max="14601" width="10.6328125" style="4" customWidth="1"/>
    <col min="14602" max="14602" width="6.7265625" style="4" customWidth="1"/>
    <col min="14603" max="14603" width="7.54296875" style="4" customWidth="1"/>
    <col min="14604" max="14604" width="13.7265625" style="4" customWidth="1"/>
    <col min="14605" max="14606" width="8.7265625" style="4"/>
    <col min="14607" max="14607" width="12.90625" style="4" bestFit="1" customWidth="1"/>
    <col min="14608" max="14849" width="8.7265625" style="4"/>
    <col min="14850" max="14850" width="2.6328125" style="4" customWidth="1"/>
    <col min="14851" max="14851" width="10.1796875" style="4" customWidth="1"/>
    <col min="14852" max="14852" width="28" style="4" bestFit="1" customWidth="1"/>
    <col min="14853" max="14853" width="12.7265625" style="4" customWidth="1"/>
    <col min="14854" max="14854" width="13.1796875" style="4" customWidth="1"/>
    <col min="14855" max="14855" width="9.453125" style="4" customWidth="1"/>
    <col min="14856" max="14856" width="7.26953125" style="4" customWidth="1"/>
    <col min="14857" max="14857" width="10.6328125" style="4" customWidth="1"/>
    <col min="14858" max="14858" width="6.7265625" style="4" customWidth="1"/>
    <col min="14859" max="14859" width="7.54296875" style="4" customWidth="1"/>
    <col min="14860" max="14860" width="13.7265625" style="4" customWidth="1"/>
    <col min="14861" max="14862" width="8.7265625" style="4"/>
    <col min="14863" max="14863" width="12.90625" style="4" bestFit="1" customWidth="1"/>
    <col min="14864" max="15105" width="8.7265625" style="4"/>
    <col min="15106" max="15106" width="2.6328125" style="4" customWidth="1"/>
    <col min="15107" max="15107" width="10.1796875" style="4" customWidth="1"/>
    <col min="15108" max="15108" width="28" style="4" bestFit="1" customWidth="1"/>
    <col min="15109" max="15109" width="12.7265625" style="4" customWidth="1"/>
    <col min="15110" max="15110" width="13.1796875" style="4" customWidth="1"/>
    <col min="15111" max="15111" width="9.453125" style="4" customWidth="1"/>
    <col min="15112" max="15112" width="7.26953125" style="4" customWidth="1"/>
    <col min="15113" max="15113" width="10.6328125" style="4" customWidth="1"/>
    <col min="15114" max="15114" width="6.7265625" style="4" customWidth="1"/>
    <col min="15115" max="15115" width="7.54296875" style="4" customWidth="1"/>
    <col min="15116" max="15116" width="13.7265625" style="4" customWidth="1"/>
    <col min="15117" max="15118" width="8.7265625" style="4"/>
    <col min="15119" max="15119" width="12.90625" style="4" bestFit="1" customWidth="1"/>
    <col min="15120" max="15361" width="8.7265625" style="4"/>
    <col min="15362" max="15362" width="2.6328125" style="4" customWidth="1"/>
    <col min="15363" max="15363" width="10.1796875" style="4" customWidth="1"/>
    <col min="15364" max="15364" width="28" style="4" bestFit="1" customWidth="1"/>
    <col min="15365" max="15365" width="12.7265625" style="4" customWidth="1"/>
    <col min="15366" max="15366" width="13.1796875" style="4" customWidth="1"/>
    <col min="15367" max="15367" width="9.453125" style="4" customWidth="1"/>
    <col min="15368" max="15368" width="7.26953125" style="4" customWidth="1"/>
    <col min="15369" max="15369" width="10.6328125" style="4" customWidth="1"/>
    <col min="15370" max="15370" width="6.7265625" style="4" customWidth="1"/>
    <col min="15371" max="15371" width="7.54296875" style="4" customWidth="1"/>
    <col min="15372" max="15372" width="13.7265625" style="4" customWidth="1"/>
    <col min="15373" max="15374" width="8.7265625" style="4"/>
    <col min="15375" max="15375" width="12.90625" style="4" bestFit="1" customWidth="1"/>
    <col min="15376" max="15617" width="8.7265625" style="4"/>
    <col min="15618" max="15618" width="2.6328125" style="4" customWidth="1"/>
    <col min="15619" max="15619" width="10.1796875" style="4" customWidth="1"/>
    <col min="15620" max="15620" width="28" style="4" bestFit="1" customWidth="1"/>
    <col min="15621" max="15621" width="12.7265625" style="4" customWidth="1"/>
    <col min="15622" max="15622" width="13.1796875" style="4" customWidth="1"/>
    <col min="15623" max="15623" width="9.453125" style="4" customWidth="1"/>
    <col min="15624" max="15624" width="7.26953125" style="4" customWidth="1"/>
    <col min="15625" max="15625" width="10.6328125" style="4" customWidth="1"/>
    <col min="15626" max="15626" width="6.7265625" style="4" customWidth="1"/>
    <col min="15627" max="15627" width="7.54296875" style="4" customWidth="1"/>
    <col min="15628" max="15628" width="13.7265625" style="4" customWidth="1"/>
    <col min="15629" max="15630" width="8.7265625" style="4"/>
    <col min="15631" max="15631" width="12.90625" style="4" bestFit="1" customWidth="1"/>
    <col min="15632" max="15873" width="8.7265625" style="4"/>
    <col min="15874" max="15874" width="2.6328125" style="4" customWidth="1"/>
    <col min="15875" max="15875" width="10.1796875" style="4" customWidth="1"/>
    <col min="15876" max="15876" width="28" style="4" bestFit="1" customWidth="1"/>
    <col min="15877" max="15877" width="12.7265625" style="4" customWidth="1"/>
    <col min="15878" max="15878" width="13.1796875" style="4" customWidth="1"/>
    <col min="15879" max="15879" width="9.453125" style="4" customWidth="1"/>
    <col min="15880" max="15880" width="7.26953125" style="4" customWidth="1"/>
    <col min="15881" max="15881" width="10.6328125" style="4" customWidth="1"/>
    <col min="15882" max="15882" width="6.7265625" style="4" customWidth="1"/>
    <col min="15883" max="15883" width="7.54296875" style="4" customWidth="1"/>
    <col min="15884" max="15884" width="13.7265625" style="4" customWidth="1"/>
    <col min="15885" max="15886" width="8.7265625" style="4"/>
    <col min="15887" max="15887" width="12.90625" style="4" bestFit="1" customWidth="1"/>
    <col min="15888" max="16129" width="8.7265625" style="4"/>
    <col min="16130" max="16130" width="2.6328125" style="4" customWidth="1"/>
    <col min="16131" max="16131" width="10.1796875" style="4" customWidth="1"/>
    <col min="16132" max="16132" width="28" style="4" bestFit="1" customWidth="1"/>
    <col min="16133" max="16133" width="12.7265625" style="4" customWidth="1"/>
    <col min="16134" max="16134" width="13.1796875" style="4" customWidth="1"/>
    <col min="16135" max="16135" width="9.453125" style="4" customWidth="1"/>
    <col min="16136" max="16136" width="7.26953125" style="4" customWidth="1"/>
    <col min="16137" max="16137" width="10.6328125" style="4" customWidth="1"/>
    <col min="16138" max="16138" width="6.7265625" style="4" customWidth="1"/>
    <col min="16139" max="16139" width="7.54296875" style="4" customWidth="1"/>
    <col min="16140" max="16140" width="13.7265625" style="4" customWidth="1"/>
    <col min="16141" max="16142" width="8.7265625" style="4"/>
    <col min="16143" max="16143" width="12.90625" style="4" bestFit="1" customWidth="1"/>
    <col min="16144" max="16384" width="8.7265625" style="4"/>
  </cols>
  <sheetData>
    <row r="1" spans="1:13" ht="15" customHeight="1">
      <c r="A1" s="3" t="s">
        <v>14</v>
      </c>
      <c r="B1" s="46"/>
      <c r="C1" s="47"/>
      <c r="D1" s="47"/>
      <c r="E1" s="48"/>
      <c r="F1" s="47"/>
      <c r="G1" s="47"/>
      <c r="H1" s="47"/>
      <c r="I1" s="47"/>
      <c r="J1" s="47"/>
      <c r="K1" s="47"/>
      <c r="L1" s="49"/>
    </row>
    <row r="2" spans="1:13" ht="15" customHeight="1">
      <c r="B2" s="50" t="s">
        <v>15</v>
      </c>
      <c r="C2" s="116"/>
      <c r="D2" s="298" t="s">
        <v>128</v>
      </c>
      <c r="E2" s="298"/>
      <c r="F2" s="298"/>
      <c r="G2" s="298"/>
      <c r="H2" s="298"/>
      <c r="I2" s="298"/>
      <c r="J2" s="298"/>
      <c r="K2" s="298"/>
      <c r="L2" s="51" t="s">
        <v>15</v>
      </c>
    </row>
    <row r="3" spans="1:13" ht="32.5" customHeight="1" thickBot="1">
      <c r="B3" s="300" t="s">
        <v>130</v>
      </c>
      <c r="C3" s="301"/>
      <c r="D3" s="301"/>
      <c r="E3" s="53"/>
      <c r="F3" s="52"/>
      <c r="G3" s="52"/>
      <c r="H3" s="52"/>
      <c r="I3" s="52"/>
      <c r="J3" s="52"/>
      <c r="K3" s="52"/>
      <c r="L3" s="54"/>
    </row>
    <row r="4" spans="1:13" ht="31">
      <c r="B4" s="6" t="s">
        <v>16</v>
      </c>
      <c r="C4" s="118" t="s">
        <v>129</v>
      </c>
      <c r="D4" s="7" t="s">
        <v>17</v>
      </c>
      <c r="E4" s="8" t="s">
        <v>18</v>
      </c>
      <c r="F4" s="7" t="s">
        <v>19</v>
      </c>
      <c r="G4" s="7" t="s">
        <v>20</v>
      </c>
      <c r="H4" s="299" t="s">
        <v>21</v>
      </c>
      <c r="I4" s="299"/>
      <c r="J4" s="299" t="s">
        <v>22</v>
      </c>
      <c r="K4" s="299"/>
      <c r="L4" s="9" t="s">
        <v>23</v>
      </c>
    </row>
    <row r="5" spans="1:13" ht="20.149999999999999" customHeight="1">
      <c r="B5" s="295" t="s">
        <v>24</v>
      </c>
      <c r="C5" s="11"/>
      <c r="D5" s="10" t="s">
        <v>25</v>
      </c>
      <c r="E5" s="11"/>
      <c r="F5" s="12">
        <v>5421532</v>
      </c>
      <c r="G5" s="13">
        <v>90359</v>
      </c>
      <c r="H5" s="14"/>
      <c r="I5" s="15"/>
      <c r="J5" s="16"/>
      <c r="K5" s="17"/>
      <c r="L5" s="18"/>
    </row>
    <row r="6" spans="1:13" ht="20.149999999999999" customHeight="1">
      <c r="B6" s="296"/>
      <c r="C6" s="11"/>
      <c r="D6" s="10" t="s">
        <v>26</v>
      </c>
      <c r="E6" s="11"/>
      <c r="F6" s="12">
        <v>377000</v>
      </c>
      <c r="G6" s="13">
        <v>2020</v>
      </c>
      <c r="H6" s="14"/>
      <c r="I6" s="15"/>
      <c r="J6" s="16"/>
      <c r="K6" s="17"/>
      <c r="L6" s="18"/>
    </row>
    <row r="7" spans="1:13" ht="20.149999999999999" customHeight="1">
      <c r="B7" s="296"/>
      <c r="C7" s="11"/>
      <c r="D7" s="10" t="s">
        <v>27</v>
      </c>
      <c r="E7" s="11"/>
      <c r="F7" s="12">
        <v>30950</v>
      </c>
      <c r="G7" s="13">
        <v>645</v>
      </c>
      <c r="H7" s="14"/>
      <c r="I7" s="15"/>
      <c r="J7" s="16"/>
      <c r="K7" s="17"/>
      <c r="L7" s="18"/>
    </row>
    <row r="8" spans="1:13" ht="20.149999999999999" customHeight="1">
      <c r="B8" s="296"/>
      <c r="C8" s="11"/>
      <c r="D8" s="10" t="s">
        <v>28</v>
      </c>
      <c r="E8" s="11"/>
      <c r="F8" s="12">
        <v>52000</v>
      </c>
      <c r="G8" s="13">
        <v>1083</v>
      </c>
      <c r="H8" s="14"/>
      <c r="I8" s="15"/>
      <c r="J8" s="16"/>
      <c r="K8" s="17"/>
      <c r="L8" s="18"/>
    </row>
    <row r="9" spans="1:13" ht="20.149999999999999" customHeight="1">
      <c r="B9" s="297"/>
      <c r="C9" s="11"/>
      <c r="D9" s="10" t="s">
        <v>29</v>
      </c>
      <c r="E9" s="11"/>
      <c r="F9" s="12">
        <v>640000</v>
      </c>
      <c r="G9" s="13">
        <f>F9/60</f>
        <v>10666.666666666666</v>
      </c>
      <c r="H9" s="15"/>
      <c r="I9" s="15"/>
      <c r="J9" s="16"/>
      <c r="K9" s="17"/>
      <c r="L9" s="18"/>
    </row>
    <row r="10" spans="1:13" ht="20.149999999999999" customHeight="1">
      <c r="B10" s="19" t="s">
        <v>30</v>
      </c>
      <c r="C10" s="11"/>
      <c r="D10" s="20" t="s">
        <v>31</v>
      </c>
      <c r="E10" s="11"/>
      <c r="F10" s="21">
        <v>460000</v>
      </c>
      <c r="G10" s="22">
        <v>4792</v>
      </c>
      <c r="H10" s="14"/>
      <c r="I10" s="15"/>
      <c r="J10" s="16"/>
      <c r="K10" s="17"/>
      <c r="L10" s="18"/>
    </row>
    <row r="11" spans="1:13" ht="20.149999999999999" customHeight="1">
      <c r="B11" s="295" t="s">
        <v>32</v>
      </c>
      <c r="C11" s="11"/>
      <c r="D11" s="10" t="s">
        <v>33</v>
      </c>
      <c r="E11" s="11">
        <v>1</v>
      </c>
      <c r="F11" s="12">
        <v>12306258</v>
      </c>
      <c r="G11" s="13">
        <v>128190</v>
      </c>
      <c r="H11" s="14"/>
      <c r="I11" s="15"/>
      <c r="J11" s="16"/>
      <c r="K11" s="17"/>
      <c r="L11" s="18"/>
    </row>
    <row r="12" spans="1:13" ht="20.149999999999999" customHeight="1">
      <c r="B12" s="297"/>
      <c r="C12" s="11"/>
      <c r="D12" s="10" t="s">
        <v>34</v>
      </c>
      <c r="E12" s="11"/>
      <c r="F12" s="12">
        <v>250000</v>
      </c>
      <c r="G12" s="13">
        <v>5208</v>
      </c>
      <c r="H12" s="14"/>
      <c r="I12" s="15"/>
      <c r="J12" s="16"/>
      <c r="K12" s="17"/>
      <c r="L12" s="18"/>
    </row>
    <row r="13" spans="1:13" ht="20.149999999999999" customHeight="1">
      <c r="B13" s="295" t="s">
        <v>35</v>
      </c>
      <c r="C13" s="11"/>
      <c r="D13" s="23" t="s">
        <v>36</v>
      </c>
      <c r="E13" s="27">
        <v>3</v>
      </c>
      <c r="F13" s="24">
        <v>4926081</v>
      </c>
      <c r="G13" s="25">
        <v>51313</v>
      </c>
      <c r="H13" s="15"/>
      <c r="I13" s="15"/>
      <c r="J13" s="17"/>
      <c r="K13" s="17"/>
      <c r="L13" s="26"/>
    </row>
    <row r="14" spans="1:13" ht="20.149999999999999" customHeight="1">
      <c r="B14" s="296"/>
      <c r="C14" s="11"/>
      <c r="D14" s="23" t="s">
        <v>37</v>
      </c>
      <c r="E14" s="27"/>
      <c r="F14" s="24">
        <v>27772000</v>
      </c>
      <c r="G14" s="25">
        <f>F14/60</f>
        <v>462866.66666666669</v>
      </c>
      <c r="H14" s="15"/>
      <c r="I14" s="15"/>
      <c r="J14" s="17"/>
      <c r="K14" s="17"/>
      <c r="L14" s="26"/>
    </row>
    <row r="15" spans="1:13" ht="20.149999999999999" customHeight="1">
      <c r="B15" s="296"/>
      <c r="C15" s="11"/>
      <c r="D15" s="10" t="s">
        <v>38</v>
      </c>
      <c r="E15" s="11"/>
      <c r="F15" s="12">
        <v>2980650</v>
      </c>
      <c r="G15" s="13">
        <v>62097</v>
      </c>
      <c r="H15" s="14"/>
      <c r="I15" s="15"/>
      <c r="J15" s="16"/>
      <c r="K15" s="17"/>
      <c r="L15" s="18"/>
      <c r="M15" s="3"/>
    </row>
    <row r="16" spans="1:13" ht="20.149999999999999" customHeight="1">
      <c r="B16" s="296"/>
      <c r="C16" s="11"/>
      <c r="D16" s="10" t="s">
        <v>39</v>
      </c>
      <c r="E16" s="11"/>
      <c r="F16" s="12">
        <v>44000</v>
      </c>
      <c r="G16" s="13">
        <v>917</v>
      </c>
      <c r="H16" s="14"/>
      <c r="I16" s="15"/>
      <c r="J16" s="16"/>
      <c r="K16" s="17"/>
      <c r="L16" s="18"/>
    </row>
    <row r="17" spans="2:14" ht="20.149999999999999" customHeight="1">
      <c r="B17" s="296"/>
      <c r="C17" s="11"/>
      <c r="D17" s="10" t="s">
        <v>40</v>
      </c>
      <c r="E17" s="11"/>
      <c r="F17" s="12">
        <v>116000</v>
      </c>
      <c r="G17" s="13">
        <v>731</v>
      </c>
      <c r="H17" s="14"/>
      <c r="I17" s="15"/>
      <c r="J17" s="16"/>
      <c r="K17" s="17"/>
      <c r="L17" s="18"/>
    </row>
    <row r="18" spans="2:14" ht="20.149999999999999" customHeight="1">
      <c r="B18" s="297"/>
      <c r="C18" s="11"/>
      <c r="D18" s="10" t="s">
        <v>41</v>
      </c>
      <c r="E18" s="11"/>
      <c r="F18" s="12">
        <v>190000</v>
      </c>
      <c r="G18" s="13"/>
      <c r="H18" s="14"/>
      <c r="I18" s="15"/>
      <c r="J18" s="16"/>
      <c r="K18" s="17"/>
      <c r="L18" s="18"/>
    </row>
    <row r="19" spans="2:14" ht="20.149999999999999" customHeight="1">
      <c r="B19" s="295" t="s">
        <v>42</v>
      </c>
      <c r="C19" s="11"/>
      <c r="D19" s="23" t="s">
        <v>43</v>
      </c>
      <c r="E19" s="27"/>
      <c r="F19" s="24">
        <v>170000</v>
      </c>
      <c r="G19" s="24">
        <f>F19/96</f>
        <v>1770.8333333333333</v>
      </c>
      <c r="H19" s="14"/>
      <c r="I19" s="15"/>
      <c r="J19" s="16"/>
      <c r="K19" s="17"/>
      <c r="L19" s="18"/>
    </row>
    <row r="20" spans="2:14" ht="20.149999999999999" customHeight="1">
      <c r="B20" s="296"/>
      <c r="C20" s="11"/>
      <c r="D20" s="23" t="s">
        <v>44</v>
      </c>
      <c r="E20" s="27">
        <v>2</v>
      </c>
      <c r="F20" s="24">
        <v>4379408</v>
      </c>
      <c r="G20" s="24">
        <v>72990</v>
      </c>
      <c r="H20" s="14"/>
      <c r="I20" s="15"/>
      <c r="J20" s="16"/>
      <c r="K20" s="17"/>
      <c r="L20" s="18"/>
      <c r="N20" s="3"/>
    </row>
    <row r="21" spans="2:14" ht="20.149999999999999" customHeight="1">
      <c r="B21" s="297"/>
      <c r="C21" s="11"/>
      <c r="D21" s="23" t="s">
        <v>45</v>
      </c>
      <c r="E21" s="27"/>
      <c r="F21" s="24">
        <v>18741000</v>
      </c>
      <c r="G21" s="24">
        <f>F21/60</f>
        <v>312350</v>
      </c>
      <c r="H21" s="14"/>
      <c r="I21" s="15"/>
      <c r="J21" s="16"/>
      <c r="K21" s="17"/>
      <c r="L21" s="18"/>
    </row>
    <row r="22" spans="2:14" ht="20.149999999999999" customHeight="1">
      <c r="B22" s="19" t="s">
        <v>46</v>
      </c>
      <c r="C22" s="11"/>
      <c r="D22" s="23" t="s">
        <v>47</v>
      </c>
      <c r="E22" s="27">
        <v>1</v>
      </c>
      <c r="F22" s="24">
        <v>115040</v>
      </c>
      <c r="G22" s="13">
        <v>1917</v>
      </c>
      <c r="H22" s="14"/>
      <c r="I22" s="15"/>
      <c r="J22" s="16"/>
      <c r="K22" s="17"/>
      <c r="L22" s="18"/>
    </row>
    <row r="23" spans="2:14" ht="20.149999999999999" customHeight="1">
      <c r="B23" s="295" t="s">
        <v>48</v>
      </c>
      <c r="C23" s="11"/>
      <c r="D23" s="23" t="s">
        <v>49</v>
      </c>
      <c r="E23" s="27">
        <v>1</v>
      </c>
      <c r="F23" s="24">
        <v>1500000</v>
      </c>
      <c r="G23" s="13">
        <v>4220</v>
      </c>
      <c r="H23" s="14"/>
      <c r="I23" s="15"/>
      <c r="J23" s="16"/>
      <c r="K23" s="17"/>
      <c r="L23" s="18"/>
    </row>
    <row r="24" spans="2:14" ht="20.149999999999999" customHeight="1">
      <c r="B24" s="296"/>
      <c r="C24" s="11"/>
      <c r="D24" s="23" t="s">
        <v>50</v>
      </c>
      <c r="E24" s="27"/>
      <c r="F24" s="24">
        <v>101290</v>
      </c>
      <c r="G24" s="13">
        <v>2110</v>
      </c>
      <c r="H24" s="14"/>
      <c r="I24" s="15"/>
      <c r="J24" s="16"/>
      <c r="K24" s="17"/>
      <c r="L24" s="18"/>
    </row>
    <row r="25" spans="2:14" ht="20.149999999999999" customHeight="1">
      <c r="B25" s="296"/>
      <c r="C25" s="11"/>
      <c r="D25" s="23" t="s">
        <v>51</v>
      </c>
      <c r="E25" s="27"/>
      <c r="F25" s="24">
        <v>111712</v>
      </c>
      <c r="G25" s="13">
        <v>1862</v>
      </c>
      <c r="H25" s="14"/>
      <c r="I25" s="15"/>
      <c r="J25" s="16"/>
      <c r="K25" s="17"/>
      <c r="L25" s="18"/>
    </row>
    <row r="26" spans="2:14" ht="20.149999999999999" customHeight="1">
      <c r="B26" s="297"/>
      <c r="C26" s="11"/>
      <c r="D26" s="23" t="s">
        <v>52</v>
      </c>
      <c r="E26" s="27"/>
      <c r="F26" s="24">
        <v>200277</v>
      </c>
      <c r="G26" s="13">
        <v>2086</v>
      </c>
      <c r="H26" s="14"/>
      <c r="I26" s="15"/>
      <c r="J26" s="16"/>
      <c r="K26" s="17"/>
      <c r="L26" s="18"/>
    </row>
    <row r="27" spans="2:14" ht="20.149999999999999" customHeight="1">
      <c r="B27" s="19" t="s">
        <v>53</v>
      </c>
      <c r="C27" s="11"/>
      <c r="D27" s="23" t="s">
        <v>54</v>
      </c>
      <c r="E27" s="27">
        <v>1</v>
      </c>
      <c r="F27" s="24">
        <v>635000</v>
      </c>
      <c r="G27" s="13">
        <f>F27/60</f>
        <v>10583.333333333334</v>
      </c>
      <c r="H27" s="14"/>
      <c r="I27" s="15"/>
      <c r="J27" s="16"/>
      <c r="K27" s="17"/>
      <c r="L27" s="18"/>
    </row>
    <row r="28" spans="2:14" ht="20.149999999999999" customHeight="1">
      <c r="B28" s="19" t="s">
        <v>55</v>
      </c>
      <c r="C28" s="11"/>
      <c r="D28" s="10" t="s">
        <v>56</v>
      </c>
      <c r="E28" s="11">
        <v>1</v>
      </c>
      <c r="F28" s="25">
        <v>210000</v>
      </c>
      <c r="G28" s="13">
        <v>2188</v>
      </c>
      <c r="H28" s="14"/>
      <c r="I28" s="15"/>
      <c r="J28" s="16"/>
      <c r="K28" s="17"/>
      <c r="L28" s="18"/>
    </row>
    <row r="29" spans="2:14" ht="20.149999999999999" customHeight="1">
      <c r="B29" s="19" t="s">
        <v>57</v>
      </c>
      <c r="C29" s="11"/>
      <c r="D29" s="23" t="s">
        <v>58</v>
      </c>
      <c r="E29" s="27">
        <v>1</v>
      </c>
      <c r="F29" s="24">
        <v>7950000</v>
      </c>
      <c r="G29" s="13">
        <f>F29/60</f>
        <v>132500</v>
      </c>
      <c r="H29" s="14"/>
      <c r="I29" s="15"/>
      <c r="J29" s="16"/>
      <c r="K29" s="17"/>
      <c r="L29" s="18"/>
    </row>
    <row r="30" spans="2:14" ht="20.149999999999999" customHeight="1">
      <c r="B30" s="295" t="s">
        <v>59</v>
      </c>
      <c r="C30" s="11"/>
      <c r="D30" s="23" t="s">
        <v>60</v>
      </c>
      <c r="E30" s="27">
        <v>1</v>
      </c>
      <c r="F30" s="24">
        <v>9665000</v>
      </c>
      <c r="G30" s="13">
        <f>F30/60</f>
        <v>161083.33333333334</v>
      </c>
      <c r="H30" s="14"/>
      <c r="I30" s="15"/>
      <c r="J30" s="16"/>
      <c r="K30" s="17"/>
      <c r="L30" s="18"/>
    </row>
    <row r="31" spans="2:14" ht="20.149999999999999" customHeight="1">
      <c r="B31" s="297"/>
      <c r="C31" s="11"/>
      <c r="D31" s="10" t="s">
        <v>61</v>
      </c>
      <c r="E31" s="11"/>
      <c r="F31" s="12">
        <v>1160000</v>
      </c>
      <c r="G31" s="13">
        <v>24166</v>
      </c>
      <c r="H31" s="14"/>
      <c r="I31" s="15"/>
      <c r="J31" s="16"/>
      <c r="K31" s="16"/>
      <c r="L31" s="18"/>
    </row>
    <row r="32" spans="2:14" ht="20.149999999999999" customHeight="1">
      <c r="B32" s="28" t="s">
        <v>62</v>
      </c>
      <c r="C32" s="117"/>
      <c r="D32" s="23" t="s">
        <v>63</v>
      </c>
      <c r="E32" s="27">
        <v>2</v>
      </c>
      <c r="F32" s="24">
        <f>450000*2</f>
        <v>900000</v>
      </c>
      <c r="G32" s="13">
        <f>7500*2</f>
        <v>15000</v>
      </c>
      <c r="H32" s="14"/>
      <c r="I32" s="14"/>
      <c r="J32" s="16"/>
      <c r="K32" s="17"/>
      <c r="L32" s="18"/>
    </row>
    <row r="33" spans="2:12" ht="20.149999999999999" customHeight="1">
      <c r="B33" s="295" t="s">
        <v>64</v>
      </c>
      <c r="C33" s="11"/>
      <c r="D33" s="23" t="s">
        <v>65</v>
      </c>
      <c r="E33" s="27">
        <v>6</v>
      </c>
      <c r="F33" s="24">
        <v>8167655</v>
      </c>
      <c r="G33" s="13">
        <v>113031</v>
      </c>
      <c r="H33" s="14"/>
      <c r="I33" s="14"/>
      <c r="J33" s="16"/>
      <c r="K33" s="17"/>
      <c r="L33" s="18"/>
    </row>
    <row r="34" spans="2:12" ht="20.149999999999999" customHeight="1">
      <c r="B34" s="296"/>
      <c r="C34" s="11"/>
      <c r="D34" s="23" t="s">
        <v>66</v>
      </c>
      <c r="E34" s="27"/>
      <c r="F34" s="24">
        <v>500000</v>
      </c>
      <c r="G34" s="13">
        <f>F34/60</f>
        <v>8333.3333333333339</v>
      </c>
      <c r="H34" s="14"/>
      <c r="I34" s="14"/>
      <c r="J34" s="16"/>
      <c r="K34" s="17"/>
      <c r="L34" s="18"/>
    </row>
    <row r="35" spans="2:12" ht="20.149999999999999" customHeight="1">
      <c r="B35" s="297"/>
      <c r="C35" s="11"/>
      <c r="D35" s="23" t="s">
        <v>67</v>
      </c>
      <c r="E35" s="27"/>
      <c r="F35" s="12">
        <v>600000</v>
      </c>
      <c r="G35" s="13">
        <v>8750</v>
      </c>
      <c r="H35" s="14"/>
      <c r="I35" s="15"/>
      <c r="J35" s="16"/>
      <c r="K35" s="16"/>
      <c r="L35" s="18"/>
    </row>
    <row r="36" spans="2:12" ht="20.149999999999999" customHeight="1">
      <c r="B36" s="28" t="s">
        <v>68</v>
      </c>
      <c r="C36" s="117"/>
      <c r="D36" s="29" t="s">
        <v>69</v>
      </c>
      <c r="E36" s="30">
        <v>1</v>
      </c>
      <c r="F36" s="25">
        <v>2700000</v>
      </c>
      <c r="G36" s="13">
        <f>F36/96</f>
        <v>28125</v>
      </c>
      <c r="H36" s="14"/>
      <c r="I36" s="14"/>
      <c r="J36" s="16"/>
      <c r="K36" s="17"/>
      <c r="L36" s="18"/>
    </row>
    <row r="37" spans="2:12" ht="20.149999999999999" customHeight="1" thickBot="1">
      <c r="B37" s="31" t="s">
        <v>70</v>
      </c>
      <c r="C37" s="117"/>
      <c r="D37" s="32" t="s">
        <v>71</v>
      </c>
      <c r="E37" s="33"/>
      <c r="F37" s="34">
        <v>64500</v>
      </c>
      <c r="G37" s="34">
        <v>0</v>
      </c>
      <c r="H37" s="35"/>
      <c r="I37" s="35"/>
      <c r="J37" s="36"/>
      <c r="K37" s="37"/>
      <c r="L37" s="38"/>
    </row>
    <row r="38" spans="2:12">
      <c r="F38" s="39"/>
      <c r="G38" s="39"/>
    </row>
  </sheetData>
  <mergeCells count="11">
    <mergeCell ref="B23:B26"/>
    <mergeCell ref="B30:B31"/>
    <mergeCell ref="B33:B35"/>
    <mergeCell ref="D2:K2"/>
    <mergeCell ref="H4:I4"/>
    <mergeCell ref="J4:K4"/>
    <mergeCell ref="B5:B9"/>
    <mergeCell ref="B11:B12"/>
    <mergeCell ref="B13:B18"/>
    <mergeCell ref="B19:B21"/>
    <mergeCell ref="B3:D3"/>
  </mergeCells>
  <phoneticPr fontId="1" type="noConversion"/>
  <pageMargins left="0.32" right="0.26" top="0.27" bottom="0.25" header="0.5" footer="0.23"/>
  <pageSetup paperSize="9" scale="65" orientation="portrait" horizont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C00000"/>
  </sheetPr>
  <dimension ref="A1:AN799681"/>
  <sheetViews>
    <sheetView zoomScale="70" zoomScaleNormal="70" workbookViewId="0">
      <selection activeCell="C6" sqref="C6"/>
    </sheetView>
  </sheetViews>
  <sheetFormatPr defaultRowHeight="17"/>
  <cols>
    <col min="1" max="1" width="5.7265625" style="56" customWidth="1"/>
    <col min="2" max="2" width="4.90625" style="60" bestFit="1" customWidth="1"/>
    <col min="3" max="3" width="15.26953125" style="56" bestFit="1" customWidth="1"/>
    <col min="4" max="4" width="6.7265625" style="56" customWidth="1"/>
    <col min="5" max="5" width="4.54296875" style="56" bestFit="1" customWidth="1"/>
    <col min="6" max="6" width="4.90625" style="56" bestFit="1" customWidth="1"/>
    <col min="7" max="7" width="4.54296875" style="57" bestFit="1" customWidth="1"/>
    <col min="8" max="8" width="9.6328125" style="58" customWidth="1"/>
    <col min="9" max="9" width="10.1796875" style="56" customWidth="1"/>
    <col min="10" max="10" width="9.453125" style="56" bestFit="1" customWidth="1"/>
    <col min="11" max="11" width="11.81640625" style="56" customWidth="1"/>
    <col min="12" max="12" width="14.81640625" style="56" customWidth="1"/>
    <col min="13" max="13" width="8.08984375" style="56" customWidth="1"/>
    <col min="14" max="15" width="8.54296875" style="56" customWidth="1"/>
    <col min="16" max="16" width="8.81640625" style="56" customWidth="1"/>
    <col min="17" max="17" width="8.36328125" style="56" customWidth="1"/>
    <col min="18" max="18" width="8.54296875" style="56" bestFit="1" customWidth="1"/>
    <col min="19" max="19" width="8.1796875" style="56" customWidth="1"/>
    <col min="20" max="20" width="8.08984375" style="56" customWidth="1"/>
    <col min="21" max="21" width="8" style="56" customWidth="1"/>
    <col min="22" max="22" width="7.90625" style="56" customWidth="1"/>
    <col min="23" max="23" width="8" style="56" customWidth="1"/>
    <col min="24" max="24" width="8.1796875" style="56" customWidth="1"/>
    <col min="25" max="25" width="13.453125" style="56" customWidth="1"/>
    <col min="26" max="26" width="5.81640625" style="58" bestFit="1" customWidth="1"/>
    <col min="27" max="27" width="5.81640625" style="56" bestFit="1" customWidth="1"/>
    <col min="28" max="28" width="8.54296875" style="56" bestFit="1" customWidth="1"/>
    <col min="29" max="29" width="17.08984375" style="56" customWidth="1"/>
    <col min="30" max="30" width="2.81640625" style="56" customWidth="1"/>
    <col min="31" max="31" width="14.7265625" style="56" customWidth="1"/>
    <col min="32" max="32" width="6.7265625" style="56" customWidth="1"/>
    <col min="33" max="33" width="4.453125" style="56" customWidth="1"/>
    <col min="34" max="34" width="8.7265625" style="56"/>
    <col min="35" max="35" width="3.6328125" style="56" customWidth="1"/>
    <col min="36" max="36" width="16.1796875" style="56" customWidth="1"/>
    <col min="37" max="37" width="7.81640625" style="56" bestFit="1" customWidth="1"/>
    <col min="38" max="38" width="2.7265625" style="56" customWidth="1"/>
    <col min="39" max="39" width="16.453125" style="56" customWidth="1"/>
    <col min="40" max="40" width="8.7265625" style="57"/>
    <col min="41" max="16384" width="8.7265625" style="56"/>
  </cols>
  <sheetData>
    <row r="1" spans="1:40" ht="17.5" customHeight="1">
      <c r="B1" s="302" t="s">
        <v>72</v>
      </c>
      <c r="C1" s="302"/>
      <c r="D1" s="302"/>
      <c r="E1" s="302"/>
      <c r="F1" s="302"/>
      <c r="G1" s="302"/>
      <c r="H1" s="302"/>
    </row>
    <row r="2" spans="1:40" ht="17" customHeight="1">
      <c r="B2" s="302"/>
      <c r="C2" s="302"/>
      <c r="D2" s="302"/>
      <c r="E2" s="302"/>
      <c r="F2" s="302"/>
      <c r="G2" s="302"/>
      <c r="H2" s="302"/>
    </row>
    <row r="3" spans="1:40" ht="17" customHeight="1">
      <c r="B3" s="303"/>
      <c r="C3" s="303"/>
      <c r="D3" s="303"/>
      <c r="E3" s="303"/>
      <c r="F3" s="303"/>
      <c r="G3" s="303"/>
      <c r="H3" s="303"/>
    </row>
    <row r="4" spans="1:40" s="57" customFormat="1" ht="27" customHeight="1">
      <c r="B4" s="61" t="s">
        <v>73</v>
      </c>
      <c r="C4" s="61" t="s">
        <v>206</v>
      </c>
      <c r="D4" s="304" t="s">
        <v>0</v>
      </c>
      <c r="E4" s="305"/>
      <c r="F4" s="306"/>
      <c r="G4" s="61" t="s">
        <v>1</v>
      </c>
      <c r="H4" s="61" t="s">
        <v>2</v>
      </c>
      <c r="I4" s="61" t="s">
        <v>3</v>
      </c>
      <c r="J4" s="61" t="s">
        <v>12</v>
      </c>
      <c r="K4" s="61" t="s">
        <v>4</v>
      </c>
      <c r="L4" s="61" t="s">
        <v>127</v>
      </c>
      <c r="M4" s="71" t="s">
        <v>90</v>
      </c>
      <c r="N4" s="71" t="s">
        <v>79</v>
      </c>
      <c r="O4" s="71" t="s">
        <v>80</v>
      </c>
      <c r="P4" s="71" t="s">
        <v>81</v>
      </c>
      <c r="Q4" s="71" t="s">
        <v>82</v>
      </c>
      <c r="R4" s="71" t="s">
        <v>83</v>
      </c>
      <c r="S4" s="71" t="s">
        <v>84</v>
      </c>
      <c r="T4" s="71" t="s">
        <v>85</v>
      </c>
      <c r="U4" s="71" t="s">
        <v>86</v>
      </c>
      <c r="V4" s="71" t="s">
        <v>87</v>
      </c>
      <c r="W4" s="71" t="s">
        <v>89</v>
      </c>
      <c r="X4" s="71" t="s">
        <v>88</v>
      </c>
      <c r="Y4" s="61" t="s">
        <v>5</v>
      </c>
      <c r="Z4" s="61" t="s">
        <v>6</v>
      </c>
      <c r="AA4" s="61" t="s">
        <v>7</v>
      </c>
      <c r="AB4" s="61" t="s">
        <v>8</v>
      </c>
      <c r="AC4" s="61" t="s">
        <v>9</v>
      </c>
      <c r="AD4" s="60"/>
      <c r="AE4" s="304" t="s">
        <v>13</v>
      </c>
      <c r="AF4" s="305"/>
      <c r="AG4" s="305"/>
      <c r="AH4" s="306"/>
      <c r="AI4" s="60"/>
      <c r="AJ4" s="304" t="s">
        <v>75</v>
      </c>
      <c r="AK4" s="306"/>
      <c r="AL4" s="60"/>
      <c r="AM4" s="230" t="s">
        <v>76</v>
      </c>
      <c r="AN4" s="231"/>
    </row>
    <row r="5" spans="1:40" s="59" customFormat="1">
      <c r="A5" s="59" t="s">
        <v>11</v>
      </c>
      <c r="B5" s="62" t="str">
        <f>LEFT(C5,3)</f>
        <v>MCI</v>
      </c>
      <c r="C5" s="62" t="s">
        <v>205</v>
      </c>
      <c r="D5" s="62" t="s">
        <v>199</v>
      </c>
      <c r="E5" s="62">
        <v>0.1</v>
      </c>
      <c r="F5" s="62">
        <v>0.34</v>
      </c>
      <c r="G5" s="62">
        <v>10</v>
      </c>
      <c r="H5" s="62">
        <v>79968</v>
      </c>
      <c r="I5" s="62" t="s">
        <v>10</v>
      </c>
      <c r="J5" s="62">
        <v>1216</v>
      </c>
      <c r="K5" s="62">
        <v>4</v>
      </c>
      <c r="L5" s="62" t="s">
        <v>200</v>
      </c>
      <c r="M5" s="62"/>
      <c r="N5" s="62"/>
      <c r="O5" s="62"/>
      <c r="P5" s="62"/>
      <c r="Q5" s="62"/>
      <c r="R5" s="62">
        <v>12</v>
      </c>
      <c r="S5" s="62"/>
      <c r="T5" s="62">
        <v>4</v>
      </c>
      <c r="U5" s="62"/>
      <c r="V5" s="62"/>
      <c r="W5" s="62"/>
      <c r="X5" s="62"/>
      <c r="Y5" s="62">
        <v>1</v>
      </c>
      <c r="Z5" s="62">
        <f>SUM(M5:Y5)</f>
        <v>17</v>
      </c>
      <c r="AA5" s="62">
        <v>3</v>
      </c>
      <c r="AB5" s="62">
        <v>3</v>
      </c>
      <c r="AC5" s="63" t="s">
        <v>201</v>
      </c>
      <c r="AD5" s="64"/>
      <c r="AE5" s="62" t="str">
        <f>C5</f>
        <v>MCI0603TG1N2</v>
      </c>
      <c r="AF5" s="62">
        <v>18000</v>
      </c>
      <c r="AG5" s="62">
        <v>2</v>
      </c>
      <c r="AH5" s="62" t="s">
        <v>74</v>
      </c>
      <c r="AI5" s="65"/>
      <c r="AJ5" s="62" t="str">
        <f>AE5</f>
        <v>MCI0603TG1N2</v>
      </c>
      <c r="AK5" s="62">
        <v>799680</v>
      </c>
      <c r="AL5" s="65"/>
      <c r="AM5" s="62" t="str">
        <f>AE5</f>
        <v>MCI0603TG1N2</v>
      </c>
      <c r="AN5" s="62">
        <v>799680</v>
      </c>
    </row>
    <row r="6" spans="1:40">
      <c r="B6" s="62" t="str">
        <f t="shared" ref="B6:B11" si="0">LEFT(C6,3)</f>
        <v/>
      </c>
      <c r="C6" s="66"/>
      <c r="D6" s="67"/>
      <c r="E6" s="67"/>
      <c r="F6" s="67"/>
      <c r="G6" s="61"/>
      <c r="H6" s="66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72"/>
      <c r="AA6" s="67"/>
      <c r="AB6" s="67"/>
      <c r="AC6" s="67"/>
      <c r="AD6" s="68"/>
      <c r="AE6" s="72" t="str">
        <f>IF(C6="","",C6)</f>
        <v/>
      </c>
      <c r="AF6" s="224"/>
      <c r="AG6" s="224"/>
      <c r="AH6" s="224"/>
      <c r="AI6" s="225"/>
      <c r="AJ6" s="72" t="str">
        <f t="shared" ref="AJ6:AJ69" si="1">AE6</f>
        <v/>
      </c>
      <c r="AK6" s="224"/>
      <c r="AL6" s="225"/>
      <c r="AM6" s="72" t="str">
        <f t="shared" ref="AM6:AM69" si="2">AE6</f>
        <v/>
      </c>
      <c r="AN6" s="72"/>
    </row>
    <row r="7" spans="1:40">
      <c r="B7" s="62" t="str">
        <f t="shared" si="0"/>
        <v/>
      </c>
      <c r="C7" s="66"/>
      <c r="D7" s="67"/>
      <c r="E7" s="67"/>
      <c r="F7" s="67"/>
      <c r="G7" s="61"/>
      <c r="H7" s="66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72"/>
      <c r="AA7" s="67"/>
      <c r="AB7" s="67"/>
      <c r="AC7" s="67"/>
      <c r="AD7" s="68"/>
      <c r="AE7" s="72" t="str">
        <f t="shared" ref="AE7:AE70" si="3">IF(C7="","",C7)</f>
        <v/>
      </c>
      <c r="AF7" s="224"/>
      <c r="AG7" s="224"/>
      <c r="AH7" s="224"/>
      <c r="AI7" s="225"/>
      <c r="AJ7" s="72" t="str">
        <f t="shared" si="1"/>
        <v/>
      </c>
      <c r="AK7" s="224"/>
      <c r="AL7" s="225"/>
      <c r="AM7" s="72" t="str">
        <f t="shared" si="2"/>
        <v/>
      </c>
      <c r="AN7" s="72"/>
    </row>
    <row r="8" spans="1:40">
      <c r="B8" s="62" t="str">
        <f t="shared" si="0"/>
        <v/>
      </c>
      <c r="C8" s="66"/>
      <c r="D8" s="67"/>
      <c r="E8" s="67"/>
      <c r="F8" s="67"/>
      <c r="G8" s="61"/>
      <c r="H8" s="66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72"/>
      <c r="AA8" s="67"/>
      <c r="AB8" s="67"/>
      <c r="AC8" s="67"/>
      <c r="AD8" s="68"/>
      <c r="AE8" s="72" t="str">
        <f t="shared" si="3"/>
        <v/>
      </c>
      <c r="AF8" s="224"/>
      <c r="AG8" s="224"/>
      <c r="AH8" s="224"/>
      <c r="AI8" s="225"/>
      <c r="AJ8" s="72" t="str">
        <f t="shared" si="1"/>
        <v/>
      </c>
      <c r="AK8" s="224"/>
      <c r="AL8" s="225"/>
      <c r="AM8" s="72" t="str">
        <f t="shared" si="2"/>
        <v/>
      </c>
      <c r="AN8" s="72"/>
    </row>
    <row r="9" spans="1:40">
      <c r="B9" s="62" t="str">
        <f t="shared" si="0"/>
        <v/>
      </c>
      <c r="C9" s="66"/>
      <c r="D9" s="67"/>
      <c r="E9" s="67"/>
      <c r="F9" s="67"/>
      <c r="G9" s="61"/>
      <c r="H9" s="66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72"/>
      <c r="AA9" s="67"/>
      <c r="AB9" s="67"/>
      <c r="AC9" s="67"/>
      <c r="AD9" s="68"/>
      <c r="AE9" s="72" t="str">
        <f t="shared" si="3"/>
        <v/>
      </c>
      <c r="AF9" s="224"/>
      <c r="AG9" s="224"/>
      <c r="AH9" s="224"/>
      <c r="AI9" s="225"/>
      <c r="AJ9" s="72" t="str">
        <f t="shared" si="1"/>
        <v/>
      </c>
      <c r="AK9" s="224"/>
      <c r="AL9" s="225"/>
      <c r="AM9" s="72" t="str">
        <f t="shared" si="2"/>
        <v/>
      </c>
      <c r="AN9" s="72"/>
    </row>
    <row r="10" spans="1:40">
      <c r="B10" s="62" t="str">
        <f t="shared" si="0"/>
        <v/>
      </c>
      <c r="C10" s="66"/>
      <c r="D10" s="67"/>
      <c r="E10" s="67"/>
      <c r="F10" s="67"/>
      <c r="G10" s="61"/>
      <c r="H10" s="66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72"/>
      <c r="AA10" s="67"/>
      <c r="AB10" s="67"/>
      <c r="AC10" s="67"/>
      <c r="AD10" s="68"/>
      <c r="AE10" s="72" t="str">
        <f t="shared" si="3"/>
        <v/>
      </c>
      <c r="AF10" s="224"/>
      <c r="AG10" s="224"/>
      <c r="AH10" s="224"/>
      <c r="AI10" s="225"/>
      <c r="AJ10" s="72" t="str">
        <f t="shared" si="1"/>
        <v/>
      </c>
      <c r="AK10" s="224"/>
      <c r="AL10" s="225"/>
      <c r="AM10" s="72" t="str">
        <f t="shared" si="2"/>
        <v/>
      </c>
      <c r="AN10" s="72"/>
    </row>
    <row r="11" spans="1:40">
      <c r="B11" s="62" t="str">
        <f t="shared" si="0"/>
        <v/>
      </c>
      <c r="C11" s="66"/>
      <c r="D11" s="67"/>
      <c r="E11" s="67"/>
      <c r="F11" s="67"/>
      <c r="G11" s="61"/>
      <c r="H11" s="66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72"/>
      <c r="AA11" s="67"/>
      <c r="AB11" s="67"/>
      <c r="AC11" s="67"/>
      <c r="AD11" s="68"/>
      <c r="AE11" s="72" t="str">
        <f t="shared" si="3"/>
        <v/>
      </c>
      <c r="AF11" s="224"/>
      <c r="AG11" s="224"/>
      <c r="AH11" s="224"/>
      <c r="AI11" s="225"/>
      <c r="AJ11" s="72" t="str">
        <f t="shared" si="1"/>
        <v/>
      </c>
      <c r="AK11" s="224"/>
      <c r="AL11" s="225"/>
      <c r="AM11" s="72" t="str">
        <f t="shared" si="2"/>
        <v/>
      </c>
      <c r="AN11" s="72"/>
    </row>
    <row r="12" spans="1:40">
      <c r="B12" s="62" t="str">
        <f t="shared" ref="B12:B69" si="4">LEFT(C12,3)</f>
        <v/>
      </c>
      <c r="C12" s="66"/>
      <c r="D12" s="67"/>
      <c r="E12" s="67"/>
      <c r="F12" s="67"/>
      <c r="G12" s="61"/>
      <c r="H12" s="66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72"/>
      <c r="AA12" s="67"/>
      <c r="AB12" s="67"/>
      <c r="AC12" s="67"/>
      <c r="AD12" s="68"/>
      <c r="AE12" s="72" t="str">
        <f t="shared" si="3"/>
        <v/>
      </c>
      <c r="AF12" s="224"/>
      <c r="AG12" s="224"/>
      <c r="AH12" s="224"/>
      <c r="AI12" s="225"/>
      <c r="AJ12" s="72" t="str">
        <f t="shared" si="1"/>
        <v/>
      </c>
      <c r="AK12" s="224"/>
      <c r="AL12" s="225"/>
      <c r="AM12" s="72" t="str">
        <f t="shared" si="2"/>
        <v/>
      </c>
      <c r="AN12" s="72"/>
    </row>
    <row r="13" spans="1:40">
      <c r="B13" s="62" t="str">
        <f t="shared" si="4"/>
        <v/>
      </c>
      <c r="C13" s="66"/>
      <c r="D13" s="67"/>
      <c r="E13" s="67"/>
      <c r="F13" s="67"/>
      <c r="G13" s="61"/>
      <c r="H13" s="66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72"/>
      <c r="AA13" s="67"/>
      <c r="AB13" s="67"/>
      <c r="AC13" s="67"/>
      <c r="AD13" s="68"/>
      <c r="AE13" s="72" t="str">
        <f t="shared" si="3"/>
        <v/>
      </c>
      <c r="AF13" s="224"/>
      <c r="AG13" s="224"/>
      <c r="AH13" s="224"/>
      <c r="AI13" s="225"/>
      <c r="AJ13" s="72" t="str">
        <f t="shared" si="1"/>
        <v/>
      </c>
      <c r="AK13" s="224"/>
      <c r="AL13" s="225"/>
      <c r="AM13" s="72" t="str">
        <f t="shared" si="2"/>
        <v/>
      </c>
      <c r="AN13" s="72"/>
    </row>
    <row r="14" spans="1:40">
      <c r="B14" s="62" t="str">
        <f t="shared" si="4"/>
        <v/>
      </c>
      <c r="C14" s="66"/>
      <c r="D14" s="67"/>
      <c r="E14" s="67"/>
      <c r="F14" s="67"/>
      <c r="G14" s="61"/>
      <c r="H14" s="66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72"/>
      <c r="AA14" s="67"/>
      <c r="AB14" s="67"/>
      <c r="AC14" s="67"/>
      <c r="AD14" s="68"/>
      <c r="AE14" s="72" t="str">
        <f t="shared" si="3"/>
        <v/>
      </c>
      <c r="AF14" s="224"/>
      <c r="AG14" s="224"/>
      <c r="AH14" s="224"/>
      <c r="AI14" s="225"/>
      <c r="AJ14" s="72" t="str">
        <f t="shared" si="1"/>
        <v/>
      </c>
      <c r="AK14" s="224"/>
      <c r="AL14" s="225"/>
      <c r="AM14" s="72" t="str">
        <f t="shared" si="2"/>
        <v/>
      </c>
      <c r="AN14" s="72"/>
    </row>
    <row r="15" spans="1:40">
      <c r="B15" s="62" t="str">
        <f t="shared" si="4"/>
        <v/>
      </c>
      <c r="C15" s="66"/>
      <c r="D15" s="67"/>
      <c r="E15" s="67"/>
      <c r="F15" s="67"/>
      <c r="G15" s="61"/>
      <c r="H15" s="66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72"/>
      <c r="AA15" s="67"/>
      <c r="AB15" s="67"/>
      <c r="AC15" s="67"/>
      <c r="AD15" s="68"/>
      <c r="AE15" s="72" t="str">
        <f t="shared" si="3"/>
        <v/>
      </c>
      <c r="AF15" s="224"/>
      <c r="AG15" s="224"/>
      <c r="AH15" s="224"/>
      <c r="AI15" s="225"/>
      <c r="AJ15" s="72" t="str">
        <f t="shared" si="1"/>
        <v/>
      </c>
      <c r="AK15" s="224"/>
      <c r="AL15" s="225"/>
      <c r="AM15" s="72" t="str">
        <f t="shared" si="2"/>
        <v/>
      </c>
      <c r="AN15" s="72"/>
    </row>
    <row r="16" spans="1:40">
      <c r="B16" s="62" t="str">
        <f t="shared" si="4"/>
        <v/>
      </c>
      <c r="C16" s="66"/>
      <c r="D16" s="67"/>
      <c r="E16" s="67"/>
      <c r="F16" s="67"/>
      <c r="G16" s="61"/>
      <c r="H16" s="66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72"/>
      <c r="AA16" s="67"/>
      <c r="AB16" s="67"/>
      <c r="AC16" s="67"/>
      <c r="AD16" s="68"/>
      <c r="AE16" s="72" t="str">
        <f t="shared" si="3"/>
        <v/>
      </c>
      <c r="AF16" s="224"/>
      <c r="AG16" s="224"/>
      <c r="AH16" s="224"/>
      <c r="AI16" s="225"/>
      <c r="AJ16" s="72" t="str">
        <f t="shared" si="1"/>
        <v/>
      </c>
      <c r="AK16" s="224"/>
      <c r="AL16" s="225"/>
      <c r="AM16" s="72" t="str">
        <f t="shared" si="2"/>
        <v/>
      </c>
      <c r="AN16" s="72"/>
    </row>
    <row r="17" spans="2:40">
      <c r="B17" s="62" t="str">
        <f t="shared" si="4"/>
        <v/>
      </c>
      <c r="C17" s="66"/>
      <c r="D17" s="67"/>
      <c r="E17" s="67"/>
      <c r="F17" s="67"/>
      <c r="G17" s="61"/>
      <c r="H17" s="66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72"/>
      <c r="AA17" s="67"/>
      <c r="AB17" s="67"/>
      <c r="AC17" s="67"/>
      <c r="AD17" s="68"/>
      <c r="AE17" s="72" t="str">
        <f t="shared" si="3"/>
        <v/>
      </c>
      <c r="AF17" s="224"/>
      <c r="AG17" s="224"/>
      <c r="AH17" s="224"/>
      <c r="AI17" s="225"/>
      <c r="AJ17" s="72" t="str">
        <f t="shared" si="1"/>
        <v/>
      </c>
      <c r="AK17" s="224"/>
      <c r="AL17" s="225"/>
      <c r="AM17" s="72" t="str">
        <f t="shared" si="2"/>
        <v/>
      </c>
      <c r="AN17" s="72"/>
    </row>
    <row r="18" spans="2:40">
      <c r="B18" s="62" t="str">
        <f t="shared" si="4"/>
        <v/>
      </c>
      <c r="C18" s="66"/>
      <c r="D18" s="67"/>
      <c r="E18" s="67"/>
      <c r="F18" s="67"/>
      <c r="G18" s="61"/>
      <c r="H18" s="66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72"/>
      <c r="AA18" s="67"/>
      <c r="AB18" s="67"/>
      <c r="AC18" s="67"/>
      <c r="AD18" s="68"/>
      <c r="AE18" s="72" t="str">
        <f t="shared" si="3"/>
        <v/>
      </c>
      <c r="AF18" s="224"/>
      <c r="AG18" s="224"/>
      <c r="AH18" s="224"/>
      <c r="AI18" s="225"/>
      <c r="AJ18" s="72" t="str">
        <f t="shared" si="1"/>
        <v/>
      </c>
      <c r="AK18" s="224"/>
      <c r="AL18" s="225"/>
      <c r="AM18" s="72" t="str">
        <f t="shared" si="2"/>
        <v/>
      </c>
      <c r="AN18" s="72"/>
    </row>
    <row r="19" spans="2:40">
      <c r="B19" s="62" t="str">
        <f t="shared" si="4"/>
        <v/>
      </c>
      <c r="C19" s="66"/>
      <c r="D19" s="67"/>
      <c r="E19" s="67"/>
      <c r="F19" s="67"/>
      <c r="G19" s="61"/>
      <c r="H19" s="66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72"/>
      <c r="AA19" s="67"/>
      <c r="AB19" s="67"/>
      <c r="AC19" s="67"/>
      <c r="AD19" s="68"/>
      <c r="AE19" s="72" t="str">
        <f t="shared" si="3"/>
        <v/>
      </c>
      <c r="AF19" s="224"/>
      <c r="AG19" s="224"/>
      <c r="AH19" s="224"/>
      <c r="AI19" s="225"/>
      <c r="AJ19" s="72" t="str">
        <f t="shared" si="1"/>
        <v/>
      </c>
      <c r="AK19" s="224"/>
      <c r="AL19" s="225"/>
      <c r="AM19" s="72" t="str">
        <f t="shared" si="2"/>
        <v/>
      </c>
      <c r="AN19" s="72"/>
    </row>
    <row r="20" spans="2:40">
      <c r="B20" s="62" t="str">
        <f t="shared" si="4"/>
        <v/>
      </c>
      <c r="C20" s="66"/>
      <c r="D20" s="67"/>
      <c r="E20" s="67"/>
      <c r="F20" s="67"/>
      <c r="G20" s="61"/>
      <c r="H20" s="66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72"/>
      <c r="AA20" s="67"/>
      <c r="AB20" s="67"/>
      <c r="AC20" s="67"/>
      <c r="AD20" s="68"/>
      <c r="AE20" s="72" t="str">
        <f t="shared" si="3"/>
        <v/>
      </c>
      <c r="AF20" s="224"/>
      <c r="AG20" s="224"/>
      <c r="AH20" s="224"/>
      <c r="AI20" s="225"/>
      <c r="AJ20" s="72" t="str">
        <f t="shared" si="1"/>
        <v/>
      </c>
      <c r="AK20" s="224"/>
      <c r="AL20" s="225"/>
      <c r="AM20" s="72" t="str">
        <f t="shared" si="2"/>
        <v/>
      </c>
      <c r="AN20" s="72"/>
    </row>
    <row r="21" spans="2:40">
      <c r="B21" s="62" t="str">
        <f t="shared" si="4"/>
        <v/>
      </c>
      <c r="C21" s="66"/>
      <c r="D21" s="67"/>
      <c r="E21" s="67"/>
      <c r="F21" s="67"/>
      <c r="G21" s="61"/>
      <c r="H21" s="66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72"/>
      <c r="AA21" s="67"/>
      <c r="AB21" s="67"/>
      <c r="AC21" s="67"/>
      <c r="AD21" s="68"/>
      <c r="AE21" s="72" t="str">
        <f t="shared" si="3"/>
        <v/>
      </c>
      <c r="AF21" s="224"/>
      <c r="AG21" s="224"/>
      <c r="AH21" s="224"/>
      <c r="AI21" s="225"/>
      <c r="AJ21" s="72" t="str">
        <f t="shared" si="1"/>
        <v/>
      </c>
      <c r="AK21" s="224"/>
      <c r="AL21" s="225"/>
      <c r="AM21" s="72" t="str">
        <f t="shared" si="2"/>
        <v/>
      </c>
      <c r="AN21" s="72"/>
    </row>
    <row r="22" spans="2:40">
      <c r="B22" s="62" t="str">
        <f t="shared" si="4"/>
        <v/>
      </c>
      <c r="C22" s="66"/>
      <c r="D22" s="67"/>
      <c r="E22" s="67"/>
      <c r="F22" s="67"/>
      <c r="G22" s="61"/>
      <c r="H22" s="66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72"/>
      <c r="AA22" s="67"/>
      <c r="AB22" s="67"/>
      <c r="AC22" s="67"/>
      <c r="AD22" s="68"/>
      <c r="AE22" s="72" t="str">
        <f t="shared" si="3"/>
        <v/>
      </c>
      <c r="AF22" s="224"/>
      <c r="AG22" s="224"/>
      <c r="AH22" s="224"/>
      <c r="AI22" s="225"/>
      <c r="AJ22" s="72" t="str">
        <f t="shared" si="1"/>
        <v/>
      </c>
      <c r="AK22" s="224"/>
      <c r="AL22" s="225"/>
      <c r="AM22" s="72" t="str">
        <f t="shared" si="2"/>
        <v/>
      </c>
      <c r="AN22" s="72"/>
    </row>
    <row r="23" spans="2:40">
      <c r="B23" s="62" t="str">
        <f t="shared" si="4"/>
        <v/>
      </c>
      <c r="C23" s="66"/>
      <c r="D23" s="67"/>
      <c r="E23" s="67"/>
      <c r="F23" s="67"/>
      <c r="G23" s="61"/>
      <c r="H23" s="66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72"/>
      <c r="AA23" s="67"/>
      <c r="AB23" s="67"/>
      <c r="AC23" s="67"/>
      <c r="AD23" s="68"/>
      <c r="AE23" s="72" t="str">
        <f t="shared" si="3"/>
        <v/>
      </c>
      <c r="AF23" s="224"/>
      <c r="AG23" s="224"/>
      <c r="AH23" s="224"/>
      <c r="AI23" s="225"/>
      <c r="AJ23" s="72" t="str">
        <f t="shared" si="1"/>
        <v/>
      </c>
      <c r="AK23" s="224"/>
      <c r="AL23" s="225"/>
      <c r="AM23" s="72" t="str">
        <f t="shared" si="2"/>
        <v/>
      </c>
      <c r="AN23" s="72"/>
    </row>
    <row r="24" spans="2:40">
      <c r="B24" s="62" t="str">
        <f t="shared" si="4"/>
        <v/>
      </c>
      <c r="C24" s="66"/>
      <c r="D24" s="67"/>
      <c r="E24" s="67"/>
      <c r="F24" s="67"/>
      <c r="G24" s="61"/>
      <c r="H24" s="66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72"/>
      <c r="AA24" s="67"/>
      <c r="AB24" s="67"/>
      <c r="AC24" s="67"/>
      <c r="AD24" s="68"/>
      <c r="AE24" s="72" t="str">
        <f t="shared" si="3"/>
        <v/>
      </c>
      <c r="AF24" s="224"/>
      <c r="AG24" s="224"/>
      <c r="AH24" s="224"/>
      <c r="AI24" s="225"/>
      <c r="AJ24" s="72" t="str">
        <f t="shared" si="1"/>
        <v/>
      </c>
      <c r="AK24" s="224"/>
      <c r="AL24" s="225"/>
      <c r="AM24" s="72" t="str">
        <f t="shared" si="2"/>
        <v/>
      </c>
      <c r="AN24" s="72"/>
    </row>
    <row r="25" spans="2:40">
      <c r="B25" s="62" t="str">
        <f t="shared" si="4"/>
        <v/>
      </c>
      <c r="C25" s="66"/>
      <c r="D25" s="67"/>
      <c r="E25" s="67"/>
      <c r="F25" s="67"/>
      <c r="G25" s="61"/>
      <c r="H25" s="66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72"/>
      <c r="AA25" s="67"/>
      <c r="AB25" s="67"/>
      <c r="AC25" s="67"/>
      <c r="AD25" s="68"/>
      <c r="AE25" s="72" t="str">
        <f t="shared" si="3"/>
        <v/>
      </c>
      <c r="AF25" s="224"/>
      <c r="AG25" s="224"/>
      <c r="AH25" s="224"/>
      <c r="AI25" s="225"/>
      <c r="AJ25" s="72" t="str">
        <f t="shared" si="1"/>
        <v/>
      </c>
      <c r="AK25" s="224"/>
      <c r="AL25" s="225"/>
      <c r="AM25" s="72" t="str">
        <f t="shared" si="2"/>
        <v/>
      </c>
      <c r="AN25" s="72"/>
    </row>
    <row r="26" spans="2:40">
      <c r="B26" s="62" t="str">
        <f t="shared" si="4"/>
        <v/>
      </c>
      <c r="C26" s="66"/>
      <c r="D26" s="67"/>
      <c r="E26" s="67"/>
      <c r="F26" s="67"/>
      <c r="G26" s="61"/>
      <c r="H26" s="66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72"/>
      <c r="AA26" s="67"/>
      <c r="AB26" s="67"/>
      <c r="AC26" s="67"/>
      <c r="AD26" s="68"/>
      <c r="AE26" s="72" t="str">
        <f t="shared" si="3"/>
        <v/>
      </c>
      <c r="AF26" s="224"/>
      <c r="AG26" s="224"/>
      <c r="AH26" s="224"/>
      <c r="AI26" s="225"/>
      <c r="AJ26" s="72" t="str">
        <f t="shared" si="1"/>
        <v/>
      </c>
      <c r="AK26" s="224"/>
      <c r="AL26" s="225"/>
      <c r="AM26" s="72" t="str">
        <f t="shared" si="2"/>
        <v/>
      </c>
      <c r="AN26" s="72"/>
    </row>
    <row r="27" spans="2:40">
      <c r="B27" s="62" t="str">
        <f t="shared" si="4"/>
        <v/>
      </c>
      <c r="C27" s="66"/>
      <c r="D27" s="67"/>
      <c r="E27" s="67"/>
      <c r="F27" s="67"/>
      <c r="G27" s="61"/>
      <c r="H27" s="66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72"/>
      <c r="AA27" s="67"/>
      <c r="AB27" s="67"/>
      <c r="AC27" s="67"/>
      <c r="AD27" s="68"/>
      <c r="AE27" s="72" t="str">
        <f t="shared" si="3"/>
        <v/>
      </c>
      <c r="AF27" s="224"/>
      <c r="AG27" s="224"/>
      <c r="AH27" s="224"/>
      <c r="AI27" s="225"/>
      <c r="AJ27" s="72" t="str">
        <f t="shared" si="1"/>
        <v/>
      </c>
      <c r="AK27" s="224"/>
      <c r="AL27" s="225"/>
      <c r="AM27" s="72" t="str">
        <f t="shared" si="2"/>
        <v/>
      </c>
      <c r="AN27" s="72"/>
    </row>
    <row r="28" spans="2:40">
      <c r="B28" s="62" t="str">
        <f t="shared" si="4"/>
        <v/>
      </c>
      <c r="C28" s="66"/>
      <c r="D28" s="67"/>
      <c r="E28" s="67"/>
      <c r="F28" s="67"/>
      <c r="G28" s="61"/>
      <c r="H28" s="66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72"/>
      <c r="AA28" s="67"/>
      <c r="AB28" s="67"/>
      <c r="AC28" s="67"/>
      <c r="AD28" s="68"/>
      <c r="AE28" s="72" t="str">
        <f t="shared" si="3"/>
        <v/>
      </c>
      <c r="AF28" s="224"/>
      <c r="AG28" s="224"/>
      <c r="AH28" s="224"/>
      <c r="AI28" s="225"/>
      <c r="AJ28" s="72" t="str">
        <f t="shared" si="1"/>
        <v/>
      </c>
      <c r="AK28" s="224"/>
      <c r="AL28" s="225"/>
      <c r="AM28" s="72" t="str">
        <f t="shared" si="2"/>
        <v/>
      </c>
      <c r="AN28" s="72"/>
    </row>
    <row r="29" spans="2:40">
      <c r="B29" s="62" t="str">
        <f t="shared" si="4"/>
        <v/>
      </c>
      <c r="C29" s="66"/>
      <c r="D29" s="67"/>
      <c r="E29" s="67"/>
      <c r="F29" s="67"/>
      <c r="G29" s="61"/>
      <c r="H29" s="66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72"/>
      <c r="AA29" s="67"/>
      <c r="AB29" s="67"/>
      <c r="AC29" s="67"/>
      <c r="AD29" s="68"/>
      <c r="AE29" s="72" t="str">
        <f t="shared" si="3"/>
        <v/>
      </c>
      <c r="AF29" s="224"/>
      <c r="AG29" s="224"/>
      <c r="AH29" s="224"/>
      <c r="AI29" s="225"/>
      <c r="AJ29" s="72" t="str">
        <f t="shared" si="1"/>
        <v/>
      </c>
      <c r="AK29" s="224"/>
      <c r="AL29" s="225"/>
      <c r="AM29" s="72" t="str">
        <f t="shared" si="2"/>
        <v/>
      </c>
      <c r="AN29" s="72"/>
    </row>
    <row r="30" spans="2:40">
      <c r="B30" s="62" t="str">
        <f t="shared" si="4"/>
        <v/>
      </c>
      <c r="C30" s="66"/>
      <c r="D30" s="67"/>
      <c r="E30" s="67"/>
      <c r="F30" s="67"/>
      <c r="G30" s="61"/>
      <c r="H30" s="66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72"/>
      <c r="AA30" s="67"/>
      <c r="AB30" s="67"/>
      <c r="AC30" s="67"/>
      <c r="AD30" s="68"/>
      <c r="AE30" s="72" t="str">
        <f t="shared" si="3"/>
        <v/>
      </c>
      <c r="AF30" s="224"/>
      <c r="AG30" s="224"/>
      <c r="AH30" s="224"/>
      <c r="AI30" s="225"/>
      <c r="AJ30" s="72" t="str">
        <f t="shared" si="1"/>
        <v/>
      </c>
      <c r="AK30" s="224"/>
      <c r="AL30" s="225"/>
      <c r="AM30" s="72" t="str">
        <f t="shared" si="2"/>
        <v/>
      </c>
      <c r="AN30" s="72"/>
    </row>
    <row r="31" spans="2:40">
      <c r="B31" s="62" t="str">
        <f t="shared" si="4"/>
        <v/>
      </c>
      <c r="C31" s="66"/>
      <c r="D31" s="67"/>
      <c r="E31" s="67"/>
      <c r="F31" s="67"/>
      <c r="G31" s="61"/>
      <c r="H31" s="66"/>
      <c r="I31" s="67"/>
      <c r="J31" s="67"/>
      <c r="K31" s="67"/>
      <c r="L31" s="67"/>
      <c r="M31" s="67" t="s">
        <v>224</v>
      </c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72"/>
      <c r="AA31" s="67"/>
      <c r="AB31" s="67"/>
      <c r="AC31" s="67"/>
      <c r="AD31" s="68"/>
      <c r="AE31" s="72" t="str">
        <f t="shared" si="3"/>
        <v/>
      </c>
      <c r="AF31" s="224"/>
      <c r="AG31" s="224"/>
      <c r="AH31" s="224"/>
      <c r="AI31" s="225"/>
      <c r="AJ31" s="72" t="str">
        <f t="shared" si="1"/>
        <v/>
      </c>
      <c r="AK31" s="224"/>
      <c r="AL31" s="225"/>
      <c r="AM31" s="72" t="str">
        <f t="shared" si="2"/>
        <v/>
      </c>
      <c r="AN31" s="72"/>
    </row>
    <row r="32" spans="2:40">
      <c r="B32" s="62" t="str">
        <f t="shared" si="4"/>
        <v/>
      </c>
      <c r="C32" s="66"/>
      <c r="D32" s="67"/>
      <c r="E32" s="67"/>
      <c r="F32" s="67"/>
      <c r="G32" s="61"/>
      <c r="H32" s="66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72"/>
      <c r="AA32" s="67"/>
      <c r="AB32" s="67"/>
      <c r="AC32" s="67"/>
      <c r="AD32" s="68"/>
      <c r="AE32" s="72" t="str">
        <f t="shared" si="3"/>
        <v/>
      </c>
      <c r="AF32" s="224"/>
      <c r="AG32" s="224"/>
      <c r="AH32" s="224"/>
      <c r="AI32" s="225"/>
      <c r="AJ32" s="72" t="str">
        <f t="shared" si="1"/>
        <v/>
      </c>
      <c r="AK32" s="224"/>
      <c r="AL32" s="225"/>
      <c r="AM32" s="72" t="str">
        <f t="shared" si="2"/>
        <v/>
      </c>
      <c r="AN32" s="72"/>
    </row>
    <row r="33" spans="2:40">
      <c r="B33" s="62" t="str">
        <f t="shared" si="4"/>
        <v/>
      </c>
      <c r="C33" s="66"/>
      <c r="D33" s="67"/>
      <c r="E33" s="67"/>
      <c r="F33" s="67"/>
      <c r="G33" s="61"/>
      <c r="H33" s="66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72"/>
      <c r="AA33" s="67"/>
      <c r="AB33" s="67"/>
      <c r="AC33" s="67"/>
      <c r="AD33" s="68"/>
      <c r="AE33" s="72" t="str">
        <f t="shared" si="3"/>
        <v/>
      </c>
      <c r="AF33" s="224"/>
      <c r="AG33" s="224"/>
      <c r="AH33" s="224"/>
      <c r="AI33" s="225"/>
      <c r="AJ33" s="72" t="str">
        <f t="shared" si="1"/>
        <v/>
      </c>
      <c r="AK33" s="224"/>
      <c r="AL33" s="225"/>
      <c r="AM33" s="72" t="str">
        <f t="shared" si="2"/>
        <v/>
      </c>
      <c r="AN33" s="72"/>
    </row>
    <row r="34" spans="2:40">
      <c r="B34" s="62" t="str">
        <f t="shared" si="4"/>
        <v/>
      </c>
      <c r="C34" s="66"/>
      <c r="D34" s="67"/>
      <c r="E34" s="67"/>
      <c r="F34" s="67"/>
      <c r="G34" s="61"/>
      <c r="H34" s="66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72"/>
      <c r="AA34" s="67"/>
      <c r="AB34" s="67"/>
      <c r="AC34" s="67"/>
      <c r="AD34" s="68"/>
      <c r="AE34" s="72" t="str">
        <f t="shared" si="3"/>
        <v/>
      </c>
      <c r="AF34" s="224"/>
      <c r="AG34" s="224"/>
      <c r="AH34" s="224"/>
      <c r="AI34" s="225"/>
      <c r="AJ34" s="72" t="str">
        <f t="shared" si="1"/>
        <v/>
      </c>
      <c r="AK34" s="224"/>
      <c r="AL34" s="225"/>
      <c r="AM34" s="72" t="str">
        <f t="shared" si="2"/>
        <v/>
      </c>
      <c r="AN34" s="72"/>
    </row>
    <row r="35" spans="2:40">
      <c r="B35" s="62" t="str">
        <f t="shared" si="4"/>
        <v/>
      </c>
      <c r="C35" s="66"/>
      <c r="D35" s="67"/>
      <c r="E35" s="67"/>
      <c r="F35" s="67"/>
      <c r="G35" s="61"/>
      <c r="H35" s="66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72"/>
      <c r="AA35" s="67"/>
      <c r="AB35" s="67"/>
      <c r="AC35" s="67"/>
      <c r="AD35" s="68"/>
      <c r="AE35" s="72" t="str">
        <f t="shared" si="3"/>
        <v/>
      </c>
      <c r="AF35" s="224"/>
      <c r="AG35" s="224"/>
      <c r="AH35" s="224"/>
      <c r="AI35" s="225"/>
      <c r="AJ35" s="72" t="str">
        <f t="shared" si="1"/>
        <v/>
      </c>
      <c r="AK35" s="224"/>
      <c r="AL35" s="225"/>
      <c r="AM35" s="72" t="str">
        <f t="shared" si="2"/>
        <v/>
      </c>
      <c r="AN35" s="72"/>
    </row>
    <row r="36" spans="2:40">
      <c r="B36" s="62" t="str">
        <f t="shared" si="4"/>
        <v/>
      </c>
      <c r="C36" s="66"/>
      <c r="D36" s="67"/>
      <c r="E36" s="67"/>
      <c r="F36" s="67"/>
      <c r="G36" s="61"/>
      <c r="H36" s="66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72"/>
      <c r="AA36" s="67"/>
      <c r="AB36" s="67"/>
      <c r="AC36" s="67"/>
      <c r="AD36" s="68"/>
      <c r="AE36" s="72" t="str">
        <f t="shared" si="3"/>
        <v/>
      </c>
      <c r="AF36" s="224"/>
      <c r="AG36" s="224"/>
      <c r="AH36" s="224"/>
      <c r="AI36" s="225"/>
      <c r="AJ36" s="72" t="str">
        <f t="shared" si="1"/>
        <v/>
      </c>
      <c r="AK36" s="224"/>
      <c r="AL36" s="225"/>
      <c r="AM36" s="72" t="str">
        <f t="shared" si="2"/>
        <v/>
      </c>
      <c r="AN36" s="72"/>
    </row>
    <row r="37" spans="2:40">
      <c r="B37" s="62" t="str">
        <f t="shared" si="4"/>
        <v/>
      </c>
      <c r="C37" s="66"/>
      <c r="D37" s="67"/>
      <c r="E37" s="67"/>
      <c r="F37" s="67"/>
      <c r="G37" s="61"/>
      <c r="H37" s="66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72"/>
      <c r="AA37" s="67"/>
      <c r="AB37" s="67"/>
      <c r="AC37" s="67"/>
      <c r="AD37" s="68"/>
      <c r="AE37" s="72" t="str">
        <f t="shared" si="3"/>
        <v/>
      </c>
      <c r="AF37" s="224"/>
      <c r="AG37" s="224"/>
      <c r="AH37" s="224"/>
      <c r="AI37" s="225"/>
      <c r="AJ37" s="72" t="str">
        <f t="shared" si="1"/>
        <v/>
      </c>
      <c r="AK37" s="224"/>
      <c r="AL37" s="225"/>
      <c r="AM37" s="72" t="str">
        <f t="shared" si="2"/>
        <v/>
      </c>
      <c r="AN37" s="72"/>
    </row>
    <row r="38" spans="2:40">
      <c r="B38" s="62" t="str">
        <f t="shared" si="4"/>
        <v/>
      </c>
      <c r="C38" s="66"/>
      <c r="D38" s="67"/>
      <c r="E38" s="67"/>
      <c r="F38" s="67"/>
      <c r="G38" s="61"/>
      <c r="H38" s="66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72"/>
      <c r="AA38" s="67"/>
      <c r="AB38" s="67"/>
      <c r="AC38" s="67"/>
      <c r="AD38" s="68"/>
      <c r="AE38" s="72" t="str">
        <f t="shared" si="3"/>
        <v/>
      </c>
      <c r="AF38" s="224"/>
      <c r="AG38" s="224"/>
      <c r="AH38" s="224"/>
      <c r="AI38" s="225"/>
      <c r="AJ38" s="72" t="str">
        <f t="shared" si="1"/>
        <v/>
      </c>
      <c r="AK38" s="224"/>
      <c r="AL38" s="225"/>
      <c r="AM38" s="72" t="str">
        <f t="shared" si="2"/>
        <v/>
      </c>
      <c r="AN38" s="72"/>
    </row>
    <row r="39" spans="2:40">
      <c r="B39" s="62" t="str">
        <f t="shared" si="4"/>
        <v/>
      </c>
      <c r="C39" s="66"/>
      <c r="D39" s="67"/>
      <c r="E39" s="67"/>
      <c r="F39" s="67"/>
      <c r="G39" s="61"/>
      <c r="H39" s="66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72"/>
      <c r="AA39" s="67"/>
      <c r="AB39" s="67"/>
      <c r="AC39" s="67"/>
      <c r="AD39" s="68"/>
      <c r="AE39" s="72" t="str">
        <f t="shared" si="3"/>
        <v/>
      </c>
      <c r="AF39" s="224"/>
      <c r="AG39" s="224"/>
      <c r="AH39" s="224"/>
      <c r="AI39" s="225"/>
      <c r="AJ39" s="72" t="str">
        <f t="shared" si="1"/>
        <v/>
      </c>
      <c r="AK39" s="224"/>
      <c r="AL39" s="225"/>
      <c r="AM39" s="72" t="str">
        <f t="shared" si="2"/>
        <v/>
      </c>
      <c r="AN39" s="72"/>
    </row>
    <row r="40" spans="2:40">
      <c r="B40" s="62" t="str">
        <f t="shared" si="4"/>
        <v/>
      </c>
      <c r="C40" s="66"/>
      <c r="D40" s="67"/>
      <c r="E40" s="67"/>
      <c r="F40" s="67"/>
      <c r="G40" s="61"/>
      <c r="H40" s="66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72"/>
      <c r="AA40" s="67"/>
      <c r="AB40" s="67"/>
      <c r="AC40" s="67"/>
      <c r="AD40" s="68"/>
      <c r="AE40" s="72" t="str">
        <f t="shared" si="3"/>
        <v/>
      </c>
      <c r="AF40" s="224"/>
      <c r="AG40" s="224"/>
      <c r="AH40" s="224"/>
      <c r="AI40" s="225"/>
      <c r="AJ40" s="72" t="str">
        <f t="shared" si="1"/>
        <v/>
      </c>
      <c r="AK40" s="224"/>
      <c r="AL40" s="225"/>
      <c r="AM40" s="72" t="str">
        <f t="shared" si="2"/>
        <v/>
      </c>
      <c r="AN40" s="72"/>
    </row>
    <row r="41" spans="2:40">
      <c r="B41" s="62" t="str">
        <f t="shared" si="4"/>
        <v/>
      </c>
      <c r="C41" s="66"/>
      <c r="D41" s="67"/>
      <c r="E41" s="67"/>
      <c r="F41" s="67"/>
      <c r="G41" s="61"/>
      <c r="H41" s="66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72"/>
      <c r="AA41" s="67"/>
      <c r="AB41" s="67"/>
      <c r="AC41" s="67"/>
      <c r="AD41" s="68"/>
      <c r="AE41" s="72" t="str">
        <f t="shared" si="3"/>
        <v/>
      </c>
      <c r="AF41" s="224"/>
      <c r="AG41" s="224"/>
      <c r="AH41" s="224"/>
      <c r="AI41" s="225"/>
      <c r="AJ41" s="72" t="str">
        <f t="shared" si="1"/>
        <v/>
      </c>
      <c r="AK41" s="224"/>
      <c r="AL41" s="225"/>
      <c r="AM41" s="72" t="str">
        <f t="shared" si="2"/>
        <v/>
      </c>
      <c r="AN41" s="72"/>
    </row>
    <row r="42" spans="2:40">
      <c r="B42" s="62" t="str">
        <f t="shared" si="4"/>
        <v/>
      </c>
      <c r="C42" s="66"/>
      <c r="D42" s="67"/>
      <c r="E42" s="67"/>
      <c r="F42" s="67"/>
      <c r="G42" s="61"/>
      <c r="H42" s="66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72"/>
      <c r="AA42" s="67"/>
      <c r="AB42" s="67"/>
      <c r="AC42" s="67"/>
      <c r="AD42" s="68"/>
      <c r="AE42" s="72" t="str">
        <f t="shared" si="3"/>
        <v/>
      </c>
      <c r="AF42" s="224"/>
      <c r="AG42" s="224"/>
      <c r="AH42" s="224"/>
      <c r="AI42" s="225"/>
      <c r="AJ42" s="72" t="str">
        <f t="shared" si="1"/>
        <v/>
      </c>
      <c r="AK42" s="224"/>
      <c r="AL42" s="225"/>
      <c r="AM42" s="72" t="str">
        <f t="shared" si="2"/>
        <v/>
      </c>
      <c r="AN42" s="72"/>
    </row>
    <row r="43" spans="2:40">
      <c r="B43" s="62" t="str">
        <f t="shared" si="4"/>
        <v/>
      </c>
      <c r="C43" s="66"/>
      <c r="D43" s="67"/>
      <c r="E43" s="67"/>
      <c r="F43" s="67"/>
      <c r="G43" s="61"/>
      <c r="H43" s="66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72"/>
      <c r="AA43" s="67"/>
      <c r="AB43" s="67"/>
      <c r="AC43" s="67"/>
      <c r="AD43" s="68"/>
      <c r="AE43" s="72" t="str">
        <f t="shared" si="3"/>
        <v/>
      </c>
      <c r="AF43" s="224"/>
      <c r="AG43" s="224"/>
      <c r="AH43" s="224"/>
      <c r="AI43" s="225"/>
      <c r="AJ43" s="72" t="str">
        <f t="shared" si="1"/>
        <v/>
      </c>
      <c r="AK43" s="224"/>
      <c r="AL43" s="225"/>
      <c r="AM43" s="72" t="str">
        <f t="shared" si="2"/>
        <v/>
      </c>
      <c r="AN43" s="72"/>
    </row>
    <row r="44" spans="2:40">
      <c r="B44" s="62" t="str">
        <f t="shared" si="4"/>
        <v/>
      </c>
      <c r="C44" s="66"/>
      <c r="D44" s="67"/>
      <c r="E44" s="67"/>
      <c r="F44" s="67"/>
      <c r="G44" s="61"/>
      <c r="H44" s="66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72"/>
      <c r="AA44" s="67"/>
      <c r="AB44" s="67"/>
      <c r="AC44" s="67"/>
      <c r="AD44" s="68"/>
      <c r="AE44" s="72" t="str">
        <f t="shared" si="3"/>
        <v/>
      </c>
      <c r="AF44" s="224"/>
      <c r="AG44" s="224"/>
      <c r="AH44" s="224"/>
      <c r="AI44" s="225"/>
      <c r="AJ44" s="72" t="str">
        <f t="shared" si="1"/>
        <v/>
      </c>
      <c r="AK44" s="224"/>
      <c r="AL44" s="225"/>
      <c r="AM44" s="72" t="str">
        <f t="shared" si="2"/>
        <v/>
      </c>
      <c r="AN44" s="72"/>
    </row>
    <row r="45" spans="2:40">
      <c r="B45" s="62" t="str">
        <f t="shared" si="4"/>
        <v/>
      </c>
      <c r="C45" s="66"/>
      <c r="D45" s="67"/>
      <c r="E45" s="67"/>
      <c r="F45" s="67"/>
      <c r="G45" s="61"/>
      <c r="H45" s="66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72"/>
      <c r="AA45" s="67"/>
      <c r="AB45" s="67"/>
      <c r="AC45" s="67"/>
      <c r="AD45" s="68"/>
      <c r="AE45" s="72" t="str">
        <f t="shared" si="3"/>
        <v/>
      </c>
      <c r="AF45" s="224"/>
      <c r="AG45" s="224"/>
      <c r="AH45" s="224"/>
      <c r="AI45" s="225"/>
      <c r="AJ45" s="72" t="str">
        <f t="shared" si="1"/>
        <v/>
      </c>
      <c r="AK45" s="224"/>
      <c r="AL45" s="225"/>
      <c r="AM45" s="72" t="str">
        <f t="shared" si="2"/>
        <v/>
      </c>
      <c r="AN45" s="72"/>
    </row>
    <row r="46" spans="2:40">
      <c r="B46" s="62" t="str">
        <f t="shared" si="4"/>
        <v/>
      </c>
      <c r="C46" s="66"/>
      <c r="D46" s="67"/>
      <c r="E46" s="67"/>
      <c r="F46" s="67"/>
      <c r="G46" s="61"/>
      <c r="H46" s="66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72"/>
      <c r="AA46" s="67"/>
      <c r="AB46" s="67"/>
      <c r="AC46" s="67"/>
      <c r="AD46" s="68"/>
      <c r="AE46" s="72" t="str">
        <f t="shared" si="3"/>
        <v/>
      </c>
      <c r="AF46" s="224"/>
      <c r="AG46" s="224"/>
      <c r="AH46" s="224"/>
      <c r="AI46" s="225"/>
      <c r="AJ46" s="72" t="str">
        <f t="shared" si="1"/>
        <v/>
      </c>
      <c r="AK46" s="224"/>
      <c r="AL46" s="225"/>
      <c r="AM46" s="72" t="str">
        <f t="shared" si="2"/>
        <v/>
      </c>
      <c r="AN46" s="72"/>
    </row>
    <row r="47" spans="2:40">
      <c r="B47" s="62" t="str">
        <f t="shared" si="4"/>
        <v/>
      </c>
      <c r="C47" s="66"/>
      <c r="D47" s="67"/>
      <c r="E47" s="67"/>
      <c r="F47" s="67"/>
      <c r="G47" s="61"/>
      <c r="H47" s="66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72"/>
      <c r="AA47" s="67"/>
      <c r="AB47" s="67"/>
      <c r="AC47" s="67"/>
      <c r="AD47" s="68"/>
      <c r="AE47" s="72" t="str">
        <f t="shared" si="3"/>
        <v/>
      </c>
      <c r="AF47" s="224"/>
      <c r="AG47" s="224"/>
      <c r="AH47" s="224"/>
      <c r="AI47" s="225"/>
      <c r="AJ47" s="72" t="str">
        <f t="shared" si="1"/>
        <v/>
      </c>
      <c r="AK47" s="224"/>
      <c r="AL47" s="225"/>
      <c r="AM47" s="72" t="str">
        <f t="shared" si="2"/>
        <v/>
      </c>
      <c r="AN47" s="72"/>
    </row>
    <row r="48" spans="2:40">
      <c r="B48" s="62" t="str">
        <f t="shared" si="4"/>
        <v/>
      </c>
      <c r="C48" s="66"/>
      <c r="D48" s="67"/>
      <c r="E48" s="67"/>
      <c r="F48" s="67"/>
      <c r="G48" s="61"/>
      <c r="H48" s="66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72"/>
      <c r="AA48" s="67"/>
      <c r="AB48" s="67"/>
      <c r="AC48" s="67"/>
      <c r="AD48" s="68"/>
      <c r="AE48" s="72" t="str">
        <f t="shared" si="3"/>
        <v/>
      </c>
      <c r="AF48" s="224"/>
      <c r="AG48" s="224"/>
      <c r="AH48" s="224"/>
      <c r="AI48" s="225"/>
      <c r="AJ48" s="72" t="str">
        <f t="shared" si="1"/>
        <v/>
      </c>
      <c r="AK48" s="224"/>
      <c r="AL48" s="225"/>
      <c r="AM48" s="72" t="str">
        <f t="shared" si="2"/>
        <v/>
      </c>
      <c r="AN48" s="72"/>
    </row>
    <row r="49" spans="2:40">
      <c r="B49" s="62" t="str">
        <f t="shared" si="4"/>
        <v/>
      </c>
      <c r="C49" s="66"/>
      <c r="D49" s="67"/>
      <c r="E49" s="67"/>
      <c r="F49" s="67"/>
      <c r="G49" s="61"/>
      <c r="H49" s="66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72"/>
      <c r="AA49" s="67"/>
      <c r="AB49" s="67"/>
      <c r="AC49" s="67"/>
      <c r="AD49" s="68"/>
      <c r="AE49" s="72" t="str">
        <f t="shared" si="3"/>
        <v/>
      </c>
      <c r="AF49" s="224"/>
      <c r="AG49" s="224"/>
      <c r="AH49" s="224"/>
      <c r="AI49" s="225"/>
      <c r="AJ49" s="72" t="str">
        <f t="shared" si="1"/>
        <v/>
      </c>
      <c r="AK49" s="224"/>
      <c r="AL49" s="225"/>
      <c r="AM49" s="72" t="str">
        <f t="shared" si="2"/>
        <v/>
      </c>
      <c r="AN49" s="72"/>
    </row>
    <row r="50" spans="2:40">
      <c r="B50" s="62" t="str">
        <f t="shared" si="4"/>
        <v/>
      </c>
      <c r="C50" s="66"/>
      <c r="D50" s="67"/>
      <c r="E50" s="67"/>
      <c r="F50" s="67"/>
      <c r="G50" s="61"/>
      <c r="H50" s="66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72"/>
      <c r="AA50" s="67"/>
      <c r="AB50" s="67"/>
      <c r="AC50" s="67"/>
      <c r="AD50" s="68"/>
      <c r="AE50" s="72" t="str">
        <f t="shared" si="3"/>
        <v/>
      </c>
      <c r="AF50" s="224"/>
      <c r="AG50" s="224"/>
      <c r="AH50" s="224"/>
      <c r="AI50" s="225"/>
      <c r="AJ50" s="72" t="str">
        <f t="shared" si="1"/>
        <v/>
      </c>
      <c r="AK50" s="224"/>
      <c r="AL50" s="225"/>
      <c r="AM50" s="72" t="str">
        <f t="shared" si="2"/>
        <v/>
      </c>
      <c r="AN50" s="72"/>
    </row>
    <row r="51" spans="2:40">
      <c r="B51" s="62" t="str">
        <f t="shared" si="4"/>
        <v/>
      </c>
      <c r="C51" s="66"/>
      <c r="D51" s="67"/>
      <c r="E51" s="67"/>
      <c r="F51" s="67"/>
      <c r="G51" s="61"/>
      <c r="H51" s="66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72"/>
      <c r="AA51" s="67"/>
      <c r="AB51" s="67"/>
      <c r="AC51" s="67"/>
      <c r="AD51" s="68"/>
      <c r="AE51" s="72" t="str">
        <f t="shared" si="3"/>
        <v/>
      </c>
      <c r="AF51" s="224"/>
      <c r="AG51" s="224"/>
      <c r="AH51" s="224"/>
      <c r="AI51" s="225"/>
      <c r="AJ51" s="72" t="str">
        <f t="shared" si="1"/>
        <v/>
      </c>
      <c r="AK51" s="224"/>
      <c r="AL51" s="225"/>
      <c r="AM51" s="72" t="str">
        <f t="shared" si="2"/>
        <v/>
      </c>
      <c r="AN51" s="72"/>
    </row>
    <row r="52" spans="2:40">
      <c r="B52" s="62" t="str">
        <f t="shared" si="4"/>
        <v/>
      </c>
      <c r="C52" s="66"/>
      <c r="D52" s="67"/>
      <c r="E52" s="67"/>
      <c r="F52" s="67"/>
      <c r="G52" s="61"/>
      <c r="H52" s="66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72"/>
      <c r="AA52" s="67"/>
      <c r="AB52" s="67"/>
      <c r="AC52" s="67"/>
      <c r="AD52" s="68"/>
      <c r="AE52" s="72" t="str">
        <f t="shared" si="3"/>
        <v/>
      </c>
      <c r="AF52" s="224"/>
      <c r="AG52" s="224"/>
      <c r="AH52" s="224"/>
      <c r="AI52" s="225"/>
      <c r="AJ52" s="72" t="str">
        <f t="shared" si="1"/>
        <v/>
      </c>
      <c r="AK52" s="224"/>
      <c r="AL52" s="225"/>
      <c r="AM52" s="72" t="str">
        <f t="shared" si="2"/>
        <v/>
      </c>
      <c r="AN52" s="72"/>
    </row>
    <row r="53" spans="2:40">
      <c r="B53" s="62" t="str">
        <f t="shared" si="4"/>
        <v/>
      </c>
      <c r="C53" s="66"/>
      <c r="D53" s="67"/>
      <c r="E53" s="67"/>
      <c r="F53" s="67"/>
      <c r="G53" s="61"/>
      <c r="H53" s="66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72"/>
      <c r="AA53" s="67"/>
      <c r="AB53" s="67"/>
      <c r="AC53" s="67"/>
      <c r="AD53" s="68"/>
      <c r="AE53" s="72" t="str">
        <f t="shared" si="3"/>
        <v/>
      </c>
      <c r="AF53" s="224"/>
      <c r="AG53" s="224"/>
      <c r="AH53" s="224"/>
      <c r="AI53" s="225"/>
      <c r="AJ53" s="72" t="str">
        <f t="shared" si="1"/>
        <v/>
      </c>
      <c r="AK53" s="224"/>
      <c r="AL53" s="225"/>
      <c r="AM53" s="72" t="str">
        <f t="shared" si="2"/>
        <v/>
      </c>
      <c r="AN53" s="72"/>
    </row>
    <row r="54" spans="2:40">
      <c r="B54" s="62" t="str">
        <f t="shared" si="4"/>
        <v/>
      </c>
      <c r="C54" s="66"/>
      <c r="D54" s="67"/>
      <c r="E54" s="67"/>
      <c r="F54" s="67"/>
      <c r="G54" s="61"/>
      <c r="H54" s="66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72"/>
      <c r="AA54" s="67"/>
      <c r="AB54" s="67"/>
      <c r="AC54" s="67"/>
      <c r="AD54" s="68"/>
      <c r="AE54" s="72" t="str">
        <f t="shared" si="3"/>
        <v/>
      </c>
      <c r="AF54" s="224"/>
      <c r="AG54" s="224"/>
      <c r="AH54" s="224"/>
      <c r="AI54" s="225"/>
      <c r="AJ54" s="72" t="str">
        <f t="shared" si="1"/>
        <v/>
      </c>
      <c r="AK54" s="224"/>
      <c r="AL54" s="225"/>
      <c r="AM54" s="72" t="str">
        <f t="shared" si="2"/>
        <v/>
      </c>
      <c r="AN54" s="72"/>
    </row>
    <row r="55" spans="2:40">
      <c r="B55" s="62" t="str">
        <f t="shared" si="4"/>
        <v/>
      </c>
      <c r="C55" s="66"/>
      <c r="D55" s="67"/>
      <c r="E55" s="67"/>
      <c r="F55" s="67"/>
      <c r="G55" s="61"/>
      <c r="H55" s="66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72"/>
      <c r="AA55" s="67"/>
      <c r="AB55" s="67"/>
      <c r="AC55" s="67"/>
      <c r="AD55" s="68"/>
      <c r="AE55" s="72" t="str">
        <f t="shared" si="3"/>
        <v/>
      </c>
      <c r="AF55" s="224"/>
      <c r="AG55" s="224"/>
      <c r="AH55" s="224"/>
      <c r="AI55" s="225"/>
      <c r="AJ55" s="72" t="str">
        <f t="shared" si="1"/>
        <v/>
      </c>
      <c r="AK55" s="224"/>
      <c r="AL55" s="225"/>
      <c r="AM55" s="72" t="str">
        <f t="shared" si="2"/>
        <v/>
      </c>
      <c r="AN55" s="72"/>
    </row>
    <row r="56" spans="2:40">
      <c r="B56" s="62" t="str">
        <f t="shared" si="4"/>
        <v/>
      </c>
      <c r="C56" s="66"/>
      <c r="D56" s="67"/>
      <c r="E56" s="67"/>
      <c r="F56" s="67"/>
      <c r="G56" s="61"/>
      <c r="H56" s="66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72"/>
      <c r="AA56" s="67"/>
      <c r="AB56" s="67"/>
      <c r="AC56" s="67"/>
      <c r="AD56" s="68"/>
      <c r="AE56" s="72" t="str">
        <f t="shared" si="3"/>
        <v/>
      </c>
      <c r="AF56" s="224"/>
      <c r="AG56" s="224"/>
      <c r="AH56" s="224"/>
      <c r="AI56" s="225"/>
      <c r="AJ56" s="72" t="str">
        <f t="shared" si="1"/>
        <v/>
      </c>
      <c r="AK56" s="224"/>
      <c r="AL56" s="225"/>
      <c r="AM56" s="72" t="str">
        <f t="shared" si="2"/>
        <v/>
      </c>
      <c r="AN56" s="72"/>
    </row>
    <row r="57" spans="2:40">
      <c r="B57" s="62" t="str">
        <f t="shared" si="4"/>
        <v/>
      </c>
      <c r="C57" s="66"/>
      <c r="D57" s="67"/>
      <c r="E57" s="67"/>
      <c r="F57" s="67"/>
      <c r="G57" s="61"/>
      <c r="H57" s="66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72"/>
      <c r="AA57" s="67"/>
      <c r="AB57" s="67"/>
      <c r="AC57" s="67"/>
      <c r="AD57" s="68"/>
      <c r="AE57" s="72" t="str">
        <f t="shared" si="3"/>
        <v/>
      </c>
      <c r="AF57" s="224"/>
      <c r="AG57" s="224"/>
      <c r="AH57" s="224"/>
      <c r="AI57" s="225"/>
      <c r="AJ57" s="72" t="str">
        <f t="shared" si="1"/>
        <v/>
      </c>
      <c r="AK57" s="224"/>
      <c r="AL57" s="225"/>
      <c r="AM57" s="72" t="str">
        <f t="shared" si="2"/>
        <v/>
      </c>
      <c r="AN57" s="72"/>
    </row>
    <row r="58" spans="2:40">
      <c r="B58" s="62" t="str">
        <f t="shared" si="4"/>
        <v/>
      </c>
      <c r="C58" s="66"/>
      <c r="D58" s="67"/>
      <c r="E58" s="67"/>
      <c r="F58" s="67"/>
      <c r="G58" s="61"/>
      <c r="H58" s="66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72"/>
      <c r="AA58" s="67"/>
      <c r="AB58" s="67"/>
      <c r="AC58" s="67"/>
      <c r="AD58" s="68"/>
      <c r="AE58" s="72" t="str">
        <f t="shared" si="3"/>
        <v/>
      </c>
      <c r="AF58" s="224"/>
      <c r="AG58" s="224"/>
      <c r="AH58" s="224"/>
      <c r="AI58" s="225"/>
      <c r="AJ58" s="72" t="str">
        <f t="shared" si="1"/>
        <v/>
      </c>
      <c r="AK58" s="224"/>
      <c r="AL58" s="225"/>
      <c r="AM58" s="72" t="str">
        <f t="shared" si="2"/>
        <v/>
      </c>
      <c r="AN58" s="72"/>
    </row>
    <row r="59" spans="2:40">
      <c r="B59" s="62" t="str">
        <f t="shared" si="4"/>
        <v/>
      </c>
      <c r="C59" s="66"/>
      <c r="D59" s="67"/>
      <c r="E59" s="67"/>
      <c r="F59" s="67"/>
      <c r="G59" s="61"/>
      <c r="H59" s="66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72"/>
      <c r="AA59" s="67"/>
      <c r="AB59" s="67"/>
      <c r="AC59" s="67"/>
      <c r="AD59" s="68"/>
      <c r="AE59" s="72" t="str">
        <f t="shared" si="3"/>
        <v/>
      </c>
      <c r="AF59" s="224"/>
      <c r="AG59" s="224"/>
      <c r="AH59" s="224"/>
      <c r="AI59" s="225"/>
      <c r="AJ59" s="72" t="str">
        <f t="shared" si="1"/>
        <v/>
      </c>
      <c r="AK59" s="224"/>
      <c r="AL59" s="225"/>
      <c r="AM59" s="72" t="str">
        <f t="shared" si="2"/>
        <v/>
      </c>
      <c r="AN59" s="72"/>
    </row>
    <row r="60" spans="2:40">
      <c r="B60" s="62" t="str">
        <f t="shared" si="4"/>
        <v/>
      </c>
      <c r="C60" s="66"/>
      <c r="D60" s="67"/>
      <c r="E60" s="67"/>
      <c r="F60" s="67"/>
      <c r="G60" s="61"/>
      <c r="H60" s="66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72"/>
      <c r="AA60" s="67"/>
      <c r="AB60" s="67"/>
      <c r="AC60" s="67"/>
      <c r="AD60" s="68"/>
      <c r="AE60" s="72" t="str">
        <f t="shared" si="3"/>
        <v/>
      </c>
      <c r="AF60" s="224"/>
      <c r="AG60" s="224"/>
      <c r="AH60" s="224"/>
      <c r="AI60" s="225"/>
      <c r="AJ60" s="72" t="str">
        <f t="shared" si="1"/>
        <v/>
      </c>
      <c r="AK60" s="224"/>
      <c r="AL60" s="225"/>
      <c r="AM60" s="72" t="str">
        <f t="shared" si="2"/>
        <v/>
      </c>
      <c r="AN60" s="72"/>
    </row>
    <row r="61" spans="2:40">
      <c r="B61" s="62" t="str">
        <f t="shared" si="4"/>
        <v/>
      </c>
      <c r="C61" s="66"/>
      <c r="D61" s="67"/>
      <c r="E61" s="67"/>
      <c r="F61" s="67"/>
      <c r="G61" s="61"/>
      <c r="H61" s="66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72"/>
      <c r="AA61" s="67"/>
      <c r="AB61" s="67"/>
      <c r="AC61" s="67"/>
      <c r="AD61" s="68"/>
      <c r="AE61" s="72" t="str">
        <f t="shared" si="3"/>
        <v/>
      </c>
      <c r="AF61" s="224"/>
      <c r="AG61" s="224"/>
      <c r="AH61" s="224"/>
      <c r="AI61" s="225"/>
      <c r="AJ61" s="72" t="str">
        <f t="shared" si="1"/>
        <v/>
      </c>
      <c r="AK61" s="224"/>
      <c r="AL61" s="225"/>
      <c r="AM61" s="72" t="str">
        <f t="shared" si="2"/>
        <v/>
      </c>
      <c r="AN61" s="72"/>
    </row>
    <row r="62" spans="2:40">
      <c r="B62" s="62" t="str">
        <f t="shared" si="4"/>
        <v/>
      </c>
      <c r="C62" s="66"/>
      <c r="D62" s="67"/>
      <c r="E62" s="67"/>
      <c r="F62" s="67"/>
      <c r="G62" s="61"/>
      <c r="H62" s="66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72"/>
      <c r="AA62" s="67"/>
      <c r="AB62" s="67"/>
      <c r="AC62" s="67"/>
      <c r="AD62" s="68"/>
      <c r="AE62" s="72" t="str">
        <f t="shared" si="3"/>
        <v/>
      </c>
      <c r="AF62" s="224"/>
      <c r="AG62" s="224"/>
      <c r="AH62" s="224"/>
      <c r="AI62" s="225"/>
      <c r="AJ62" s="72" t="str">
        <f t="shared" si="1"/>
        <v/>
      </c>
      <c r="AK62" s="224"/>
      <c r="AL62" s="225"/>
      <c r="AM62" s="72" t="str">
        <f t="shared" si="2"/>
        <v/>
      </c>
      <c r="AN62" s="72"/>
    </row>
    <row r="63" spans="2:40">
      <c r="B63" s="62" t="str">
        <f t="shared" si="4"/>
        <v/>
      </c>
      <c r="C63" s="66"/>
      <c r="D63" s="67"/>
      <c r="E63" s="67"/>
      <c r="F63" s="67"/>
      <c r="G63" s="61"/>
      <c r="H63" s="66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72"/>
      <c r="AA63" s="67"/>
      <c r="AB63" s="67"/>
      <c r="AC63" s="67"/>
      <c r="AD63" s="68"/>
      <c r="AE63" s="72" t="str">
        <f t="shared" si="3"/>
        <v/>
      </c>
      <c r="AF63" s="224"/>
      <c r="AG63" s="224"/>
      <c r="AH63" s="224"/>
      <c r="AI63" s="225"/>
      <c r="AJ63" s="72" t="str">
        <f t="shared" si="1"/>
        <v/>
      </c>
      <c r="AK63" s="224"/>
      <c r="AL63" s="225"/>
      <c r="AM63" s="72" t="str">
        <f t="shared" si="2"/>
        <v/>
      </c>
      <c r="AN63" s="72"/>
    </row>
    <row r="64" spans="2:40">
      <c r="B64" s="62" t="str">
        <f t="shared" si="4"/>
        <v/>
      </c>
      <c r="C64" s="66"/>
      <c r="D64" s="67"/>
      <c r="E64" s="67"/>
      <c r="F64" s="67"/>
      <c r="G64" s="61"/>
      <c r="H64" s="66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72"/>
      <c r="AA64" s="67"/>
      <c r="AB64" s="67"/>
      <c r="AC64" s="67"/>
      <c r="AD64" s="68"/>
      <c r="AE64" s="72" t="str">
        <f t="shared" si="3"/>
        <v/>
      </c>
      <c r="AF64" s="224"/>
      <c r="AG64" s="224"/>
      <c r="AH64" s="224"/>
      <c r="AI64" s="225"/>
      <c r="AJ64" s="72" t="str">
        <f t="shared" si="1"/>
        <v/>
      </c>
      <c r="AK64" s="224"/>
      <c r="AL64" s="225"/>
      <c r="AM64" s="72" t="str">
        <f t="shared" si="2"/>
        <v/>
      </c>
      <c r="AN64" s="72"/>
    </row>
    <row r="65" spans="2:40">
      <c r="B65" s="62" t="str">
        <f t="shared" si="4"/>
        <v/>
      </c>
      <c r="C65" s="66"/>
      <c r="D65" s="67"/>
      <c r="E65" s="67"/>
      <c r="F65" s="67"/>
      <c r="G65" s="61"/>
      <c r="H65" s="66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72"/>
      <c r="AA65" s="67"/>
      <c r="AB65" s="67"/>
      <c r="AC65" s="67"/>
      <c r="AD65" s="68"/>
      <c r="AE65" s="72" t="str">
        <f t="shared" si="3"/>
        <v/>
      </c>
      <c r="AF65" s="224"/>
      <c r="AG65" s="224"/>
      <c r="AH65" s="224"/>
      <c r="AI65" s="225"/>
      <c r="AJ65" s="72" t="str">
        <f t="shared" si="1"/>
        <v/>
      </c>
      <c r="AK65" s="224"/>
      <c r="AL65" s="225"/>
      <c r="AM65" s="72" t="str">
        <f t="shared" si="2"/>
        <v/>
      </c>
      <c r="AN65" s="72"/>
    </row>
    <row r="66" spans="2:40">
      <c r="B66" s="62" t="str">
        <f t="shared" si="4"/>
        <v/>
      </c>
      <c r="C66" s="66"/>
      <c r="D66" s="67"/>
      <c r="E66" s="67"/>
      <c r="F66" s="67"/>
      <c r="G66" s="61"/>
      <c r="H66" s="66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72"/>
      <c r="AA66" s="67"/>
      <c r="AB66" s="67"/>
      <c r="AC66" s="67"/>
      <c r="AD66" s="68"/>
      <c r="AE66" s="72" t="str">
        <f t="shared" si="3"/>
        <v/>
      </c>
      <c r="AF66" s="224"/>
      <c r="AG66" s="224"/>
      <c r="AH66" s="224"/>
      <c r="AI66" s="225"/>
      <c r="AJ66" s="72" t="str">
        <f t="shared" si="1"/>
        <v/>
      </c>
      <c r="AK66" s="224"/>
      <c r="AL66" s="225"/>
      <c r="AM66" s="72" t="str">
        <f t="shared" si="2"/>
        <v/>
      </c>
      <c r="AN66" s="72"/>
    </row>
    <row r="67" spans="2:40">
      <c r="B67" s="62" t="str">
        <f t="shared" si="4"/>
        <v/>
      </c>
      <c r="C67" s="66"/>
      <c r="D67" s="67"/>
      <c r="E67" s="67"/>
      <c r="F67" s="67"/>
      <c r="G67" s="61"/>
      <c r="H67" s="66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72"/>
      <c r="AA67" s="67"/>
      <c r="AB67" s="67"/>
      <c r="AC67" s="67"/>
      <c r="AD67" s="68"/>
      <c r="AE67" s="72" t="str">
        <f t="shared" si="3"/>
        <v/>
      </c>
      <c r="AF67" s="224"/>
      <c r="AG67" s="224"/>
      <c r="AH67" s="224"/>
      <c r="AI67" s="225"/>
      <c r="AJ67" s="72" t="str">
        <f t="shared" si="1"/>
        <v/>
      </c>
      <c r="AK67" s="224"/>
      <c r="AL67" s="225"/>
      <c r="AM67" s="72" t="str">
        <f t="shared" si="2"/>
        <v/>
      </c>
      <c r="AN67" s="72"/>
    </row>
    <row r="68" spans="2:40">
      <c r="B68" s="62" t="str">
        <f t="shared" si="4"/>
        <v/>
      </c>
      <c r="C68" s="66"/>
      <c r="D68" s="67"/>
      <c r="E68" s="67"/>
      <c r="F68" s="67"/>
      <c r="G68" s="61"/>
      <c r="H68" s="66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72"/>
      <c r="AA68" s="67"/>
      <c r="AB68" s="67"/>
      <c r="AC68" s="67"/>
      <c r="AD68" s="68"/>
      <c r="AE68" s="72" t="str">
        <f t="shared" si="3"/>
        <v/>
      </c>
      <c r="AF68" s="224"/>
      <c r="AG68" s="224"/>
      <c r="AH68" s="224"/>
      <c r="AI68" s="225"/>
      <c r="AJ68" s="72" t="str">
        <f t="shared" si="1"/>
        <v/>
      </c>
      <c r="AK68" s="224"/>
      <c r="AL68" s="225"/>
      <c r="AM68" s="72" t="str">
        <f t="shared" si="2"/>
        <v/>
      </c>
      <c r="AN68" s="72"/>
    </row>
    <row r="69" spans="2:40">
      <c r="B69" s="62" t="str">
        <f t="shared" si="4"/>
        <v/>
      </c>
      <c r="C69" s="66"/>
      <c r="D69" s="67"/>
      <c r="E69" s="67"/>
      <c r="F69" s="67"/>
      <c r="G69" s="61"/>
      <c r="H69" s="66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72"/>
      <c r="AA69" s="67"/>
      <c r="AB69" s="67"/>
      <c r="AC69" s="67"/>
      <c r="AD69" s="68"/>
      <c r="AE69" s="72" t="str">
        <f t="shared" si="3"/>
        <v/>
      </c>
      <c r="AF69" s="224"/>
      <c r="AG69" s="224"/>
      <c r="AH69" s="224"/>
      <c r="AI69" s="225"/>
      <c r="AJ69" s="72" t="str">
        <f t="shared" si="1"/>
        <v/>
      </c>
      <c r="AK69" s="224"/>
      <c r="AL69" s="225"/>
      <c r="AM69" s="72" t="str">
        <f t="shared" si="2"/>
        <v/>
      </c>
      <c r="AN69" s="72"/>
    </row>
    <row r="70" spans="2:40">
      <c r="B70" s="62" t="str">
        <f t="shared" ref="B70:B133" si="5">LEFT(C70,3)</f>
        <v/>
      </c>
      <c r="C70" s="66"/>
      <c r="D70" s="67"/>
      <c r="E70" s="67"/>
      <c r="F70" s="67"/>
      <c r="G70" s="61"/>
      <c r="H70" s="66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72"/>
      <c r="AA70" s="67"/>
      <c r="AB70" s="67"/>
      <c r="AC70" s="67"/>
      <c r="AD70" s="68"/>
      <c r="AE70" s="72" t="str">
        <f t="shared" si="3"/>
        <v/>
      </c>
      <c r="AF70" s="224"/>
      <c r="AG70" s="224"/>
      <c r="AH70" s="224"/>
      <c r="AI70" s="225"/>
      <c r="AJ70" s="72" t="str">
        <f t="shared" ref="AJ70:AJ133" si="6">AE70</f>
        <v/>
      </c>
      <c r="AK70" s="224"/>
      <c r="AL70" s="225"/>
      <c r="AM70" s="72" t="str">
        <f t="shared" ref="AM70:AM133" si="7">AE70</f>
        <v/>
      </c>
      <c r="AN70" s="72"/>
    </row>
    <row r="71" spans="2:40">
      <c r="B71" s="62" t="str">
        <f t="shared" si="5"/>
        <v/>
      </c>
      <c r="C71" s="66"/>
      <c r="D71" s="67"/>
      <c r="E71" s="67"/>
      <c r="F71" s="67"/>
      <c r="G71" s="61"/>
      <c r="H71" s="66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72"/>
      <c r="AA71" s="67"/>
      <c r="AB71" s="67"/>
      <c r="AC71" s="67"/>
      <c r="AD71" s="68"/>
      <c r="AE71" s="72" t="str">
        <f t="shared" ref="AE71:AE134" si="8">IF(C71="","",C71)</f>
        <v/>
      </c>
      <c r="AF71" s="224"/>
      <c r="AG71" s="224"/>
      <c r="AH71" s="224"/>
      <c r="AI71" s="225"/>
      <c r="AJ71" s="72" t="str">
        <f t="shared" si="6"/>
        <v/>
      </c>
      <c r="AK71" s="224"/>
      <c r="AL71" s="225"/>
      <c r="AM71" s="72" t="str">
        <f t="shared" si="7"/>
        <v/>
      </c>
      <c r="AN71" s="72"/>
    </row>
    <row r="72" spans="2:40">
      <c r="B72" s="62" t="str">
        <f t="shared" si="5"/>
        <v/>
      </c>
      <c r="C72" s="66"/>
      <c r="D72" s="67"/>
      <c r="E72" s="67"/>
      <c r="F72" s="67"/>
      <c r="G72" s="61"/>
      <c r="H72" s="66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72"/>
      <c r="AA72" s="67"/>
      <c r="AB72" s="67"/>
      <c r="AC72" s="67"/>
      <c r="AD72" s="68"/>
      <c r="AE72" s="72" t="str">
        <f t="shared" si="8"/>
        <v/>
      </c>
      <c r="AF72" s="224"/>
      <c r="AG72" s="224"/>
      <c r="AH72" s="224"/>
      <c r="AI72" s="225"/>
      <c r="AJ72" s="72" t="str">
        <f t="shared" si="6"/>
        <v/>
      </c>
      <c r="AK72" s="224"/>
      <c r="AL72" s="225"/>
      <c r="AM72" s="72" t="str">
        <f t="shared" si="7"/>
        <v/>
      </c>
      <c r="AN72" s="72"/>
    </row>
    <row r="73" spans="2:40">
      <c r="B73" s="62" t="str">
        <f t="shared" si="5"/>
        <v/>
      </c>
      <c r="C73" s="66"/>
      <c r="D73" s="67"/>
      <c r="E73" s="67"/>
      <c r="F73" s="67"/>
      <c r="G73" s="61"/>
      <c r="H73" s="66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72"/>
      <c r="AA73" s="67"/>
      <c r="AB73" s="67"/>
      <c r="AC73" s="67"/>
      <c r="AD73" s="68"/>
      <c r="AE73" s="72" t="str">
        <f t="shared" si="8"/>
        <v/>
      </c>
      <c r="AF73" s="224"/>
      <c r="AG73" s="224"/>
      <c r="AH73" s="224"/>
      <c r="AI73" s="225"/>
      <c r="AJ73" s="72" t="str">
        <f t="shared" si="6"/>
        <v/>
      </c>
      <c r="AK73" s="224"/>
      <c r="AL73" s="225"/>
      <c r="AM73" s="72" t="str">
        <f t="shared" si="7"/>
        <v/>
      </c>
      <c r="AN73" s="72"/>
    </row>
    <row r="74" spans="2:40">
      <c r="B74" s="62" t="str">
        <f t="shared" si="5"/>
        <v/>
      </c>
      <c r="C74" s="66"/>
      <c r="D74" s="67"/>
      <c r="E74" s="67"/>
      <c r="F74" s="67"/>
      <c r="G74" s="61"/>
      <c r="H74" s="66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72"/>
      <c r="AA74" s="67"/>
      <c r="AB74" s="67"/>
      <c r="AC74" s="67"/>
      <c r="AD74" s="68"/>
      <c r="AE74" s="72" t="str">
        <f t="shared" si="8"/>
        <v/>
      </c>
      <c r="AF74" s="224"/>
      <c r="AG74" s="224"/>
      <c r="AH74" s="224"/>
      <c r="AI74" s="225"/>
      <c r="AJ74" s="72" t="str">
        <f t="shared" si="6"/>
        <v/>
      </c>
      <c r="AK74" s="224"/>
      <c r="AL74" s="225"/>
      <c r="AM74" s="72" t="str">
        <f t="shared" si="7"/>
        <v/>
      </c>
      <c r="AN74" s="72"/>
    </row>
    <row r="75" spans="2:40">
      <c r="B75" s="62" t="str">
        <f t="shared" si="5"/>
        <v/>
      </c>
      <c r="C75" s="66"/>
      <c r="D75" s="67"/>
      <c r="E75" s="67"/>
      <c r="F75" s="67"/>
      <c r="G75" s="61"/>
      <c r="H75" s="66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72"/>
      <c r="AA75" s="67"/>
      <c r="AB75" s="67"/>
      <c r="AC75" s="67"/>
      <c r="AD75" s="68"/>
      <c r="AE75" s="72" t="str">
        <f t="shared" si="8"/>
        <v/>
      </c>
      <c r="AF75" s="224"/>
      <c r="AG75" s="224"/>
      <c r="AH75" s="224"/>
      <c r="AI75" s="225"/>
      <c r="AJ75" s="72" t="str">
        <f t="shared" si="6"/>
        <v/>
      </c>
      <c r="AK75" s="224"/>
      <c r="AL75" s="225"/>
      <c r="AM75" s="72" t="str">
        <f t="shared" si="7"/>
        <v/>
      </c>
      <c r="AN75" s="72"/>
    </row>
    <row r="76" spans="2:40">
      <c r="B76" s="62" t="str">
        <f t="shared" si="5"/>
        <v/>
      </c>
      <c r="C76" s="66"/>
      <c r="D76" s="67"/>
      <c r="E76" s="67"/>
      <c r="F76" s="67"/>
      <c r="G76" s="61"/>
      <c r="H76" s="66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72"/>
      <c r="AA76" s="67"/>
      <c r="AB76" s="67"/>
      <c r="AC76" s="67"/>
      <c r="AD76" s="68"/>
      <c r="AE76" s="72" t="str">
        <f t="shared" si="8"/>
        <v/>
      </c>
      <c r="AF76" s="224"/>
      <c r="AG76" s="224"/>
      <c r="AH76" s="224"/>
      <c r="AI76" s="225"/>
      <c r="AJ76" s="72" t="str">
        <f t="shared" si="6"/>
        <v/>
      </c>
      <c r="AK76" s="224"/>
      <c r="AL76" s="225"/>
      <c r="AM76" s="72" t="str">
        <f t="shared" si="7"/>
        <v/>
      </c>
      <c r="AN76" s="72"/>
    </row>
    <row r="77" spans="2:40">
      <c r="B77" s="62" t="str">
        <f t="shared" si="5"/>
        <v/>
      </c>
      <c r="C77" s="66"/>
      <c r="D77" s="67"/>
      <c r="E77" s="67"/>
      <c r="F77" s="67"/>
      <c r="G77" s="61"/>
      <c r="H77" s="66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72"/>
      <c r="AA77" s="67"/>
      <c r="AB77" s="67"/>
      <c r="AC77" s="67"/>
      <c r="AD77" s="68"/>
      <c r="AE77" s="72" t="str">
        <f t="shared" si="8"/>
        <v/>
      </c>
      <c r="AF77" s="224"/>
      <c r="AG77" s="224"/>
      <c r="AH77" s="224"/>
      <c r="AI77" s="225"/>
      <c r="AJ77" s="72" t="str">
        <f t="shared" si="6"/>
        <v/>
      </c>
      <c r="AK77" s="224"/>
      <c r="AL77" s="225"/>
      <c r="AM77" s="72" t="str">
        <f t="shared" si="7"/>
        <v/>
      </c>
      <c r="AN77" s="72"/>
    </row>
    <row r="78" spans="2:40">
      <c r="B78" s="62" t="str">
        <f t="shared" si="5"/>
        <v/>
      </c>
      <c r="C78" s="66"/>
      <c r="D78" s="67"/>
      <c r="E78" s="67"/>
      <c r="F78" s="67"/>
      <c r="G78" s="61"/>
      <c r="H78" s="66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72"/>
      <c r="AA78" s="67"/>
      <c r="AB78" s="67"/>
      <c r="AC78" s="67"/>
      <c r="AD78" s="68"/>
      <c r="AE78" s="72" t="str">
        <f t="shared" si="8"/>
        <v/>
      </c>
      <c r="AF78" s="224"/>
      <c r="AG78" s="224"/>
      <c r="AH78" s="224"/>
      <c r="AI78" s="225"/>
      <c r="AJ78" s="72" t="str">
        <f t="shared" si="6"/>
        <v/>
      </c>
      <c r="AK78" s="224"/>
      <c r="AL78" s="225"/>
      <c r="AM78" s="72" t="str">
        <f t="shared" si="7"/>
        <v/>
      </c>
      <c r="AN78" s="72"/>
    </row>
    <row r="79" spans="2:40">
      <c r="B79" s="62" t="str">
        <f t="shared" si="5"/>
        <v/>
      </c>
      <c r="C79" s="66"/>
      <c r="D79" s="67"/>
      <c r="E79" s="67"/>
      <c r="F79" s="67"/>
      <c r="G79" s="61"/>
      <c r="H79" s="66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72"/>
      <c r="AA79" s="67"/>
      <c r="AB79" s="67"/>
      <c r="AC79" s="67"/>
      <c r="AD79" s="68"/>
      <c r="AE79" s="72" t="str">
        <f t="shared" si="8"/>
        <v/>
      </c>
      <c r="AF79" s="224"/>
      <c r="AG79" s="224"/>
      <c r="AH79" s="224"/>
      <c r="AI79" s="225"/>
      <c r="AJ79" s="72" t="str">
        <f t="shared" si="6"/>
        <v/>
      </c>
      <c r="AK79" s="224"/>
      <c r="AL79" s="225"/>
      <c r="AM79" s="72" t="str">
        <f t="shared" si="7"/>
        <v/>
      </c>
      <c r="AN79" s="72"/>
    </row>
    <row r="80" spans="2:40">
      <c r="B80" s="62" t="str">
        <f t="shared" si="5"/>
        <v/>
      </c>
      <c r="C80" s="66"/>
      <c r="D80" s="67"/>
      <c r="E80" s="67"/>
      <c r="F80" s="67"/>
      <c r="G80" s="61"/>
      <c r="H80" s="66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72"/>
      <c r="AA80" s="67"/>
      <c r="AB80" s="67"/>
      <c r="AC80" s="67"/>
      <c r="AD80" s="68"/>
      <c r="AE80" s="72" t="str">
        <f t="shared" si="8"/>
        <v/>
      </c>
      <c r="AF80" s="224"/>
      <c r="AG80" s="224"/>
      <c r="AH80" s="224"/>
      <c r="AI80" s="225"/>
      <c r="AJ80" s="72" t="str">
        <f t="shared" si="6"/>
        <v/>
      </c>
      <c r="AK80" s="224"/>
      <c r="AL80" s="225"/>
      <c r="AM80" s="72" t="str">
        <f t="shared" si="7"/>
        <v/>
      </c>
      <c r="AN80" s="72"/>
    </row>
    <row r="81" spans="2:40">
      <c r="B81" s="62" t="str">
        <f t="shared" si="5"/>
        <v/>
      </c>
      <c r="C81" s="66"/>
      <c r="D81" s="67"/>
      <c r="E81" s="67"/>
      <c r="F81" s="67"/>
      <c r="G81" s="61"/>
      <c r="H81" s="66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72"/>
      <c r="AA81" s="67"/>
      <c r="AB81" s="67"/>
      <c r="AC81" s="67"/>
      <c r="AD81" s="68"/>
      <c r="AE81" s="72" t="str">
        <f t="shared" si="8"/>
        <v/>
      </c>
      <c r="AF81" s="224"/>
      <c r="AG81" s="224"/>
      <c r="AH81" s="224"/>
      <c r="AI81" s="225"/>
      <c r="AJ81" s="72" t="str">
        <f t="shared" si="6"/>
        <v/>
      </c>
      <c r="AK81" s="224"/>
      <c r="AL81" s="225"/>
      <c r="AM81" s="72" t="str">
        <f t="shared" si="7"/>
        <v/>
      </c>
      <c r="AN81" s="72"/>
    </row>
    <row r="82" spans="2:40">
      <c r="B82" s="62" t="str">
        <f t="shared" si="5"/>
        <v/>
      </c>
      <c r="C82" s="66"/>
      <c r="D82" s="67"/>
      <c r="E82" s="67"/>
      <c r="F82" s="67"/>
      <c r="G82" s="61"/>
      <c r="H82" s="66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72"/>
      <c r="AA82" s="67"/>
      <c r="AB82" s="67"/>
      <c r="AC82" s="67"/>
      <c r="AD82" s="68"/>
      <c r="AE82" s="72" t="str">
        <f t="shared" si="8"/>
        <v/>
      </c>
      <c r="AF82" s="224"/>
      <c r="AG82" s="224"/>
      <c r="AH82" s="224"/>
      <c r="AI82" s="225"/>
      <c r="AJ82" s="72" t="str">
        <f t="shared" si="6"/>
        <v/>
      </c>
      <c r="AK82" s="224"/>
      <c r="AL82" s="225"/>
      <c r="AM82" s="72" t="str">
        <f t="shared" si="7"/>
        <v/>
      </c>
      <c r="AN82" s="72"/>
    </row>
    <row r="83" spans="2:40">
      <c r="B83" s="62" t="str">
        <f t="shared" si="5"/>
        <v/>
      </c>
      <c r="C83" s="66"/>
      <c r="D83" s="67"/>
      <c r="E83" s="67"/>
      <c r="F83" s="67"/>
      <c r="G83" s="61"/>
      <c r="H83" s="66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72"/>
      <c r="AA83" s="67"/>
      <c r="AB83" s="67"/>
      <c r="AC83" s="67"/>
      <c r="AD83" s="68"/>
      <c r="AE83" s="72" t="str">
        <f t="shared" si="8"/>
        <v/>
      </c>
      <c r="AF83" s="224"/>
      <c r="AG83" s="224"/>
      <c r="AH83" s="224"/>
      <c r="AI83" s="225"/>
      <c r="AJ83" s="72" t="str">
        <f t="shared" si="6"/>
        <v/>
      </c>
      <c r="AK83" s="224"/>
      <c r="AL83" s="225"/>
      <c r="AM83" s="72" t="str">
        <f t="shared" si="7"/>
        <v/>
      </c>
      <c r="AN83" s="72"/>
    </row>
    <row r="84" spans="2:40">
      <c r="B84" s="62" t="str">
        <f t="shared" si="5"/>
        <v/>
      </c>
      <c r="C84" s="66"/>
      <c r="D84" s="67"/>
      <c r="E84" s="67"/>
      <c r="F84" s="67"/>
      <c r="G84" s="61"/>
      <c r="H84" s="66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72"/>
      <c r="AA84" s="67"/>
      <c r="AB84" s="67"/>
      <c r="AC84" s="67"/>
      <c r="AD84" s="68"/>
      <c r="AE84" s="72" t="str">
        <f t="shared" si="8"/>
        <v/>
      </c>
      <c r="AF84" s="224"/>
      <c r="AG84" s="224"/>
      <c r="AH84" s="224"/>
      <c r="AI84" s="225"/>
      <c r="AJ84" s="72" t="str">
        <f t="shared" si="6"/>
        <v/>
      </c>
      <c r="AK84" s="224"/>
      <c r="AL84" s="225"/>
      <c r="AM84" s="72" t="str">
        <f t="shared" si="7"/>
        <v/>
      </c>
      <c r="AN84" s="72"/>
    </row>
    <row r="85" spans="2:40">
      <c r="B85" s="62" t="str">
        <f t="shared" si="5"/>
        <v/>
      </c>
      <c r="C85" s="66"/>
      <c r="D85" s="67"/>
      <c r="E85" s="67"/>
      <c r="F85" s="67"/>
      <c r="G85" s="61"/>
      <c r="H85" s="66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72"/>
      <c r="AA85" s="67"/>
      <c r="AB85" s="67"/>
      <c r="AC85" s="67"/>
      <c r="AD85" s="68"/>
      <c r="AE85" s="72" t="str">
        <f t="shared" si="8"/>
        <v/>
      </c>
      <c r="AF85" s="224"/>
      <c r="AG85" s="224"/>
      <c r="AH85" s="224"/>
      <c r="AI85" s="225"/>
      <c r="AJ85" s="72" t="str">
        <f t="shared" si="6"/>
        <v/>
      </c>
      <c r="AK85" s="224"/>
      <c r="AL85" s="225"/>
      <c r="AM85" s="72" t="str">
        <f t="shared" si="7"/>
        <v/>
      </c>
      <c r="AN85" s="72"/>
    </row>
    <row r="86" spans="2:40">
      <c r="B86" s="62" t="str">
        <f t="shared" si="5"/>
        <v/>
      </c>
      <c r="C86" s="66"/>
      <c r="D86" s="67"/>
      <c r="E86" s="67"/>
      <c r="F86" s="67"/>
      <c r="G86" s="61"/>
      <c r="H86" s="66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72"/>
      <c r="AA86" s="67"/>
      <c r="AB86" s="67"/>
      <c r="AC86" s="67"/>
      <c r="AD86" s="68"/>
      <c r="AE86" s="72" t="str">
        <f t="shared" si="8"/>
        <v/>
      </c>
      <c r="AF86" s="224"/>
      <c r="AG86" s="224"/>
      <c r="AH86" s="224"/>
      <c r="AI86" s="225"/>
      <c r="AJ86" s="72" t="str">
        <f t="shared" si="6"/>
        <v/>
      </c>
      <c r="AK86" s="224"/>
      <c r="AL86" s="225"/>
      <c r="AM86" s="72" t="str">
        <f t="shared" si="7"/>
        <v/>
      </c>
      <c r="AN86" s="72"/>
    </row>
    <row r="87" spans="2:40">
      <c r="B87" s="62" t="str">
        <f t="shared" si="5"/>
        <v/>
      </c>
      <c r="C87" s="66"/>
      <c r="D87" s="67"/>
      <c r="E87" s="67"/>
      <c r="F87" s="67"/>
      <c r="G87" s="61"/>
      <c r="H87" s="66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72"/>
      <c r="AA87" s="67"/>
      <c r="AB87" s="67"/>
      <c r="AC87" s="67"/>
      <c r="AD87" s="68"/>
      <c r="AE87" s="72" t="str">
        <f t="shared" si="8"/>
        <v/>
      </c>
      <c r="AF87" s="224"/>
      <c r="AG87" s="224"/>
      <c r="AH87" s="224"/>
      <c r="AI87" s="225"/>
      <c r="AJ87" s="72" t="str">
        <f t="shared" si="6"/>
        <v/>
      </c>
      <c r="AK87" s="224"/>
      <c r="AL87" s="225"/>
      <c r="AM87" s="72" t="str">
        <f t="shared" si="7"/>
        <v/>
      </c>
      <c r="AN87" s="72"/>
    </row>
    <row r="88" spans="2:40">
      <c r="B88" s="62" t="str">
        <f t="shared" si="5"/>
        <v/>
      </c>
      <c r="C88" s="66"/>
      <c r="D88" s="67"/>
      <c r="E88" s="67"/>
      <c r="F88" s="67"/>
      <c r="G88" s="61"/>
      <c r="H88" s="66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72"/>
      <c r="AA88" s="67"/>
      <c r="AB88" s="67"/>
      <c r="AC88" s="67"/>
      <c r="AD88" s="68"/>
      <c r="AE88" s="72" t="str">
        <f t="shared" si="8"/>
        <v/>
      </c>
      <c r="AF88" s="224"/>
      <c r="AG88" s="224"/>
      <c r="AH88" s="224"/>
      <c r="AI88" s="225"/>
      <c r="AJ88" s="72" t="str">
        <f t="shared" si="6"/>
        <v/>
      </c>
      <c r="AK88" s="224"/>
      <c r="AL88" s="225"/>
      <c r="AM88" s="72" t="str">
        <f t="shared" si="7"/>
        <v/>
      </c>
      <c r="AN88" s="72"/>
    </row>
    <row r="89" spans="2:40">
      <c r="B89" s="62" t="str">
        <f t="shared" si="5"/>
        <v/>
      </c>
      <c r="C89" s="66"/>
      <c r="D89" s="67"/>
      <c r="E89" s="67"/>
      <c r="F89" s="67"/>
      <c r="G89" s="61"/>
      <c r="H89" s="66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72"/>
      <c r="AA89" s="67"/>
      <c r="AB89" s="67"/>
      <c r="AC89" s="67"/>
      <c r="AD89" s="68"/>
      <c r="AE89" s="72" t="str">
        <f t="shared" si="8"/>
        <v/>
      </c>
      <c r="AF89" s="224"/>
      <c r="AG89" s="224"/>
      <c r="AH89" s="224"/>
      <c r="AI89" s="225"/>
      <c r="AJ89" s="72" t="str">
        <f t="shared" si="6"/>
        <v/>
      </c>
      <c r="AK89" s="224"/>
      <c r="AL89" s="225"/>
      <c r="AM89" s="72" t="str">
        <f t="shared" si="7"/>
        <v/>
      </c>
      <c r="AN89" s="72"/>
    </row>
    <row r="90" spans="2:40">
      <c r="B90" s="62" t="str">
        <f t="shared" si="5"/>
        <v/>
      </c>
      <c r="C90" s="66"/>
      <c r="D90" s="67"/>
      <c r="E90" s="67"/>
      <c r="F90" s="67"/>
      <c r="G90" s="61"/>
      <c r="H90" s="66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72"/>
      <c r="AA90" s="67"/>
      <c r="AB90" s="67"/>
      <c r="AC90" s="67"/>
      <c r="AD90" s="68"/>
      <c r="AE90" s="72" t="str">
        <f t="shared" si="8"/>
        <v/>
      </c>
      <c r="AF90" s="224"/>
      <c r="AG90" s="224"/>
      <c r="AH90" s="224"/>
      <c r="AI90" s="225"/>
      <c r="AJ90" s="72" t="str">
        <f t="shared" si="6"/>
        <v/>
      </c>
      <c r="AK90" s="224"/>
      <c r="AL90" s="225"/>
      <c r="AM90" s="72" t="str">
        <f t="shared" si="7"/>
        <v/>
      </c>
      <c r="AN90" s="72"/>
    </row>
    <row r="91" spans="2:40">
      <c r="B91" s="62" t="str">
        <f t="shared" si="5"/>
        <v/>
      </c>
      <c r="C91" s="66"/>
      <c r="D91" s="67"/>
      <c r="E91" s="67"/>
      <c r="F91" s="67"/>
      <c r="G91" s="61"/>
      <c r="H91" s="66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72"/>
      <c r="AA91" s="67"/>
      <c r="AB91" s="67"/>
      <c r="AC91" s="67"/>
      <c r="AD91" s="68"/>
      <c r="AE91" s="72" t="str">
        <f t="shared" si="8"/>
        <v/>
      </c>
      <c r="AF91" s="224"/>
      <c r="AG91" s="224"/>
      <c r="AH91" s="224"/>
      <c r="AI91" s="225"/>
      <c r="AJ91" s="72" t="str">
        <f t="shared" si="6"/>
        <v/>
      </c>
      <c r="AK91" s="224"/>
      <c r="AL91" s="225"/>
      <c r="AM91" s="72" t="str">
        <f t="shared" si="7"/>
        <v/>
      </c>
      <c r="AN91" s="72"/>
    </row>
    <row r="92" spans="2:40">
      <c r="B92" s="62" t="str">
        <f t="shared" si="5"/>
        <v/>
      </c>
      <c r="C92" s="66"/>
      <c r="D92" s="67"/>
      <c r="E92" s="67"/>
      <c r="F92" s="67"/>
      <c r="G92" s="61"/>
      <c r="H92" s="66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72"/>
      <c r="AA92" s="67"/>
      <c r="AB92" s="67"/>
      <c r="AC92" s="67"/>
      <c r="AD92" s="68"/>
      <c r="AE92" s="72" t="str">
        <f t="shared" si="8"/>
        <v/>
      </c>
      <c r="AF92" s="224"/>
      <c r="AG92" s="224"/>
      <c r="AH92" s="224"/>
      <c r="AI92" s="225"/>
      <c r="AJ92" s="72" t="str">
        <f t="shared" si="6"/>
        <v/>
      </c>
      <c r="AK92" s="224"/>
      <c r="AL92" s="225"/>
      <c r="AM92" s="72" t="str">
        <f t="shared" si="7"/>
        <v/>
      </c>
      <c r="AN92" s="72"/>
    </row>
    <row r="93" spans="2:40">
      <c r="B93" s="62" t="str">
        <f t="shared" si="5"/>
        <v/>
      </c>
      <c r="C93" s="66"/>
      <c r="D93" s="67"/>
      <c r="E93" s="67"/>
      <c r="F93" s="67"/>
      <c r="G93" s="61"/>
      <c r="H93" s="66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72"/>
      <c r="AA93" s="67"/>
      <c r="AB93" s="67"/>
      <c r="AC93" s="67"/>
      <c r="AD93" s="68"/>
      <c r="AE93" s="72" t="str">
        <f t="shared" si="8"/>
        <v/>
      </c>
      <c r="AF93" s="224"/>
      <c r="AG93" s="224"/>
      <c r="AH93" s="224"/>
      <c r="AI93" s="225"/>
      <c r="AJ93" s="72" t="str">
        <f t="shared" si="6"/>
        <v/>
      </c>
      <c r="AK93" s="224"/>
      <c r="AL93" s="225"/>
      <c r="AM93" s="72" t="str">
        <f t="shared" si="7"/>
        <v/>
      </c>
      <c r="AN93" s="72"/>
    </row>
    <row r="94" spans="2:40">
      <c r="B94" s="62" t="str">
        <f t="shared" si="5"/>
        <v/>
      </c>
      <c r="C94" s="66"/>
      <c r="D94" s="67"/>
      <c r="E94" s="67"/>
      <c r="F94" s="67"/>
      <c r="G94" s="61"/>
      <c r="H94" s="66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72"/>
      <c r="AA94" s="67"/>
      <c r="AB94" s="67"/>
      <c r="AC94" s="67"/>
      <c r="AD94" s="68"/>
      <c r="AE94" s="72" t="str">
        <f t="shared" si="8"/>
        <v/>
      </c>
      <c r="AF94" s="224"/>
      <c r="AG94" s="224"/>
      <c r="AH94" s="224"/>
      <c r="AI94" s="225"/>
      <c r="AJ94" s="72" t="str">
        <f t="shared" si="6"/>
        <v/>
      </c>
      <c r="AK94" s="224"/>
      <c r="AL94" s="225"/>
      <c r="AM94" s="72" t="str">
        <f t="shared" si="7"/>
        <v/>
      </c>
      <c r="AN94" s="72"/>
    </row>
    <row r="95" spans="2:40">
      <c r="B95" s="62" t="str">
        <f t="shared" si="5"/>
        <v/>
      </c>
      <c r="C95" s="66"/>
      <c r="D95" s="67"/>
      <c r="E95" s="67"/>
      <c r="F95" s="67"/>
      <c r="G95" s="61"/>
      <c r="H95" s="66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72"/>
      <c r="AA95" s="67"/>
      <c r="AB95" s="67"/>
      <c r="AC95" s="67"/>
      <c r="AD95" s="68"/>
      <c r="AE95" s="72" t="str">
        <f t="shared" si="8"/>
        <v/>
      </c>
      <c r="AF95" s="224"/>
      <c r="AG95" s="224"/>
      <c r="AH95" s="224"/>
      <c r="AI95" s="225"/>
      <c r="AJ95" s="72" t="str">
        <f t="shared" si="6"/>
        <v/>
      </c>
      <c r="AK95" s="224"/>
      <c r="AL95" s="225"/>
      <c r="AM95" s="72" t="str">
        <f t="shared" si="7"/>
        <v/>
      </c>
      <c r="AN95" s="72"/>
    </row>
    <row r="96" spans="2:40">
      <c r="B96" s="62" t="str">
        <f t="shared" si="5"/>
        <v/>
      </c>
      <c r="C96" s="66"/>
      <c r="D96" s="67"/>
      <c r="E96" s="67"/>
      <c r="F96" s="67"/>
      <c r="G96" s="61"/>
      <c r="H96" s="66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72"/>
      <c r="AA96" s="67"/>
      <c r="AB96" s="67"/>
      <c r="AC96" s="67"/>
      <c r="AD96" s="68"/>
      <c r="AE96" s="72" t="str">
        <f t="shared" si="8"/>
        <v/>
      </c>
      <c r="AF96" s="224"/>
      <c r="AG96" s="224"/>
      <c r="AH96" s="224"/>
      <c r="AI96" s="225"/>
      <c r="AJ96" s="72" t="str">
        <f t="shared" si="6"/>
        <v/>
      </c>
      <c r="AK96" s="224"/>
      <c r="AL96" s="225"/>
      <c r="AM96" s="72" t="str">
        <f t="shared" si="7"/>
        <v/>
      </c>
      <c r="AN96" s="72"/>
    </row>
    <row r="97" spans="2:40">
      <c r="B97" s="62" t="str">
        <f t="shared" si="5"/>
        <v/>
      </c>
      <c r="C97" s="66"/>
      <c r="D97" s="67"/>
      <c r="E97" s="67"/>
      <c r="F97" s="67"/>
      <c r="G97" s="61"/>
      <c r="H97" s="66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72"/>
      <c r="AA97" s="67"/>
      <c r="AB97" s="67"/>
      <c r="AC97" s="67"/>
      <c r="AD97" s="68"/>
      <c r="AE97" s="72" t="str">
        <f t="shared" si="8"/>
        <v/>
      </c>
      <c r="AF97" s="224"/>
      <c r="AG97" s="224"/>
      <c r="AH97" s="224"/>
      <c r="AI97" s="225"/>
      <c r="AJ97" s="72" t="str">
        <f t="shared" si="6"/>
        <v/>
      </c>
      <c r="AK97" s="224"/>
      <c r="AL97" s="225"/>
      <c r="AM97" s="72" t="str">
        <f t="shared" si="7"/>
        <v/>
      </c>
      <c r="AN97" s="72"/>
    </row>
    <row r="98" spans="2:40">
      <c r="B98" s="62" t="str">
        <f t="shared" si="5"/>
        <v/>
      </c>
      <c r="C98" s="66"/>
      <c r="D98" s="67"/>
      <c r="E98" s="67"/>
      <c r="F98" s="67"/>
      <c r="G98" s="61"/>
      <c r="H98" s="66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72"/>
      <c r="AA98" s="67"/>
      <c r="AB98" s="67"/>
      <c r="AC98" s="67"/>
      <c r="AD98" s="68"/>
      <c r="AE98" s="72" t="str">
        <f t="shared" si="8"/>
        <v/>
      </c>
      <c r="AF98" s="224"/>
      <c r="AG98" s="224"/>
      <c r="AH98" s="224"/>
      <c r="AI98" s="225"/>
      <c r="AJ98" s="72" t="str">
        <f t="shared" si="6"/>
        <v/>
      </c>
      <c r="AK98" s="224"/>
      <c r="AL98" s="225"/>
      <c r="AM98" s="72" t="str">
        <f t="shared" si="7"/>
        <v/>
      </c>
      <c r="AN98" s="72"/>
    </row>
    <row r="99" spans="2:40">
      <c r="B99" s="62" t="str">
        <f t="shared" si="5"/>
        <v/>
      </c>
      <c r="C99" s="66"/>
      <c r="D99" s="67"/>
      <c r="E99" s="67"/>
      <c r="F99" s="67"/>
      <c r="G99" s="61"/>
      <c r="H99" s="66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72"/>
      <c r="AA99" s="67"/>
      <c r="AB99" s="67"/>
      <c r="AC99" s="67"/>
      <c r="AD99" s="68"/>
      <c r="AE99" s="72" t="str">
        <f t="shared" si="8"/>
        <v/>
      </c>
      <c r="AF99" s="224"/>
      <c r="AG99" s="224"/>
      <c r="AH99" s="224"/>
      <c r="AI99" s="225"/>
      <c r="AJ99" s="72" t="str">
        <f t="shared" si="6"/>
        <v/>
      </c>
      <c r="AK99" s="224"/>
      <c r="AL99" s="225"/>
      <c r="AM99" s="72" t="str">
        <f t="shared" si="7"/>
        <v/>
      </c>
      <c r="AN99" s="72"/>
    </row>
    <row r="100" spans="2:40">
      <c r="B100" s="62" t="str">
        <f t="shared" si="5"/>
        <v/>
      </c>
      <c r="C100" s="66"/>
      <c r="D100" s="67"/>
      <c r="E100" s="67"/>
      <c r="F100" s="67"/>
      <c r="G100" s="61"/>
      <c r="H100" s="66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72"/>
      <c r="AA100" s="67"/>
      <c r="AB100" s="67"/>
      <c r="AC100" s="67"/>
      <c r="AD100" s="68"/>
      <c r="AE100" s="72" t="str">
        <f t="shared" si="8"/>
        <v/>
      </c>
      <c r="AF100" s="224"/>
      <c r="AG100" s="224"/>
      <c r="AH100" s="224"/>
      <c r="AI100" s="225"/>
      <c r="AJ100" s="72" t="str">
        <f t="shared" si="6"/>
        <v/>
      </c>
      <c r="AK100" s="224"/>
      <c r="AL100" s="225"/>
      <c r="AM100" s="72" t="str">
        <f t="shared" si="7"/>
        <v/>
      </c>
      <c r="AN100" s="72"/>
    </row>
    <row r="101" spans="2:40">
      <c r="B101" s="62" t="str">
        <f t="shared" si="5"/>
        <v/>
      </c>
      <c r="C101" s="66"/>
      <c r="D101" s="67"/>
      <c r="E101" s="67"/>
      <c r="F101" s="67"/>
      <c r="G101" s="61"/>
      <c r="H101" s="66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72"/>
      <c r="AA101" s="67"/>
      <c r="AB101" s="67"/>
      <c r="AC101" s="67"/>
      <c r="AD101" s="68"/>
      <c r="AE101" s="72" t="str">
        <f t="shared" si="8"/>
        <v/>
      </c>
      <c r="AF101" s="224"/>
      <c r="AG101" s="224"/>
      <c r="AH101" s="224"/>
      <c r="AI101" s="225"/>
      <c r="AJ101" s="72" t="str">
        <f t="shared" si="6"/>
        <v/>
      </c>
      <c r="AK101" s="224"/>
      <c r="AL101" s="225"/>
      <c r="AM101" s="72" t="str">
        <f t="shared" si="7"/>
        <v/>
      </c>
      <c r="AN101" s="72"/>
    </row>
    <row r="102" spans="2:40">
      <c r="B102" s="62" t="str">
        <f t="shared" si="5"/>
        <v/>
      </c>
      <c r="C102" s="66"/>
      <c r="D102" s="67"/>
      <c r="E102" s="67"/>
      <c r="F102" s="67"/>
      <c r="G102" s="61"/>
      <c r="H102" s="66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72"/>
      <c r="AA102" s="67"/>
      <c r="AB102" s="67"/>
      <c r="AC102" s="67"/>
      <c r="AD102" s="68"/>
      <c r="AE102" s="72" t="str">
        <f t="shared" si="8"/>
        <v/>
      </c>
      <c r="AF102" s="224"/>
      <c r="AG102" s="224"/>
      <c r="AH102" s="224"/>
      <c r="AI102" s="225"/>
      <c r="AJ102" s="72" t="str">
        <f t="shared" si="6"/>
        <v/>
      </c>
      <c r="AK102" s="224"/>
      <c r="AL102" s="225"/>
      <c r="AM102" s="72" t="str">
        <f t="shared" si="7"/>
        <v/>
      </c>
      <c r="AN102" s="72"/>
    </row>
    <row r="103" spans="2:40">
      <c r="B103" s="62" t="str">
        <f t="shared" si="5"/>
        <v/>
      </c>
      <c r="C103" s="66"/>
      <c r="D103" s="67"/>
      <c r="E103" s="67"/>
      <c r="F103" s="67"/>
      <c r="G103" s="61"/>
      <c r="H103" s="66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72"/>
      <c r="AA103" s="67"/>
      <c r="AB103" s="67"/>
      <c r="AC103" s="67"/>
      <c r="AD103" s="68"/>
      <c r="AE103" s="72" t="str">
        <f t="shared" si="8"/>
        <v/>
      </c>
      <c r="AF103" s="224"/>
      <c r="AG103" s="224"/>
      <c r="AH103" s="224"/>
      <c r="AI103" s="225"/>
      <c r="AJ103" s="72" t="str">
        <f t="shared" si="6"/>
        <v/>
      </c>
      <c r="AK103" s="224"/>
      <c r="AL103" s="225"/>
      <c r="AM103" s="72" t="str">
        <f t="shared" si="7"/>
        <v/>
      </c>
      <c r="AN103" s="72"/>
    </row>
    <row r="104" spans="2:40">
      <c r="B104" s="62" t="str">
        <f t="shared" si="5"/>
        <v/>
      </c>
      <c r="C104" s="66"/>
      <c r="D104" s="67"/>
      <c r="E104" s="67"/>
      <c r="F104" s="67"/>
      <c r="G104" s="61"/>
      <c r="H104" s="66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72"/>
      <c r="AA104" s="67"/>
      <c r="AB104" s="67"/>
      <c r="AC104" s="67"/>
      <c r="AD104" s="68"/>
      <c r="AE104" s="72" t="str">
        <f t="shared" si="8"/>
        <v/>
      </c>
      <c r="AF104" s="224"/>
      <c r="AG104" s="224"/>
      <c r="AH104" s="224"/>
      <c r="AI104" s="225"/>
      <c r="AJ104" s="72" t="str">
        <f t="shared" si="6"/>
        <v/>
      </c>
      <c r="AK104" s="224"/>
      <c r="AL104" s="225"/>
      <c r="AM104" s="72" t="str">
        <f t="shared" si="7"/>
        <v/>
      </c>
      <c r="AN104" s="72"/>
    </row>
    <row r="105" spans="2:40">
      <c r="B105" s="62" t="str">
        <f t="shared" si="5"/>
        <v/>
      </c>
      <c r="C105" s="66"/>
      <c r="D105" s="67"/>
      <c r="E105" s="67"/>
      <c r="F105" s="67"/>
      <c r="G105" s="61"/>
      <c r="H105" s="66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72"/>
      <c r="AA105" s="67"/>
      <c r="AB105" s="67"/>
      <c r="AC105" s="67"/>
      <c r="AD105" s="68"/>
      <c r="AE105" s="72" t="str">
        <f t="shared" si="8"/>
        <v/>
      </c>
      <c r="AF105" s="224"/>
      <c r="AG105" s="224"/>
      <c r="AH105" s="224"/>
      <c r="AI105" s="225"/>
      <c r="AJ105" s="72" t="str">
        <f t="shared" si="6"/>
        <v/>
      </c>
      <c r="AK105" s="224"/>
      <c r="AL105" s="225"/>
      <c r="AM105" s="72" t="str">
        <f t="shared" si="7"/>
        <v/>
      </c>
      <c r="AN105" s="72"/>
    </row>
    <row r="106" spans="2:40">
      <c r="B106" s="62" t="str">
        <f t="shared" si="5"/>
        <v/>
      </c>
      <c r="C106" s="66"/>
      <c r="D106" s="67"/>
      <c r="E106" s="67"/>
      <c r="F106" s="67"/>
      <c r="G106" s="61"/>
      <c r="H106" s="66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72"/>
      <c r="AA106" s="67"/>
      <c r="AB106" s="67"/>
      <c r="AC106" s="67"/>
      <c r="AD106" s="68"/>
      <c r="AE106" s="72" t="str">
        <f t="shared" si="8"/>
        <v/>
      </c>
      <c r="AF106" s="224"/>
      <c r="AG106" s="224"/>
      <c r="AH106" s="224"/>
      <c r="AI106" s="225"/>
      <c r="AJ106" s="72" t="str">
        <f t="shared" si="6"/>
        <v/>
      </c>
      <c r="AK106" s="224"/>
      <c r="AL106" s="225"/>
      <c r="AM106" s="72" t="str">
        <f t="shared" si="7"/>
        <v/>
      </c>
      <c r="AN106" s="72"/>
    </row>
    <row r="107" spans="2:40">
      <c r="B107" s="62" t="str">
        <f t="shared" si="5"/>
        <v/>
      </c>
      <c r="C107" s="66"/>
      <c r="D107" s="67"/>
      <c r="E107" s="67"/>
      <c r="F107" s="67"/>
      <c r="G107" s="61"/>
      <c r="H107" s="66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72"/>
      <c r="AA107" s="67"/>
      <c r="AB107" s="67"/>
      <c r="AC107" s="67"/>
      <c r="AD107" s="68"/>
      <c r="AE107" s="72" t="str">
        <f t="shared" si="8"/>
        <v/>
      </c>
      <c r="AF107" s="224"/>
      <c r="AG107" s="224"/>
      <c r="AH107" s="224"/>
      <c r="AI107" s="225"/>
      <c r="AJ107" s="72" t="str">
        <f t="shared" si="6"/>
        <v/>
      </c>
      <c r="AK107" s="224"/>
      <c r="AL107" s="225"/>
      <c r="AM107" s="72" t="str">
        <f t="shared" si="7"/>
        <v/>
      </c>
      <c r="AN107" s="72"/>
    </row>
    <row r="108" spans="2:40">
      <c r="B108" s="62" t="str">
        <f t="shared" si="5"/>
        <v/>
      </c>
      <c r="C108" s="66"/>
      <c r="D108" s="67"/>
      <c r="E108" s="67"/>
      <c r="F108" s="67"/>
      <c r="G108" s="61"/>
      <c r="H108" s="66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72"/>
      <c r="AA108" s="67"/>
      <c r="AB108" s="67"/>
      <c r="AC108" s="67"/>
      <c r="AD108" s="68"/>
      <c r="AE108" s="72" t="str">
        <f t="shared" si="8"/>
        <v/>
      </c>
      <c r="AF108" s="224"/>
      <c r="AG108" s="224"/>
      <c r="AH108" s="224"/>
      <c r="AI108" s="225"/>
      <c r="AJ108" s="72" t="str">
        <f t="shared" si="6"/>
        <v/>
      </c>
      <c r="AK108" s="224"/>
      <c r="AL108" s="225"/>
      <c r="AM108" s="72" t="str">
        <f t="shared" si="7"/>
        <v/>
      </c>
      <c r="AN108" s="72"/>
    </row>
    <row r="109" spans="2:40">
      <c r="B109" s="62" t="str">
        <f t="shared" si="5"/>
        <v/>
      </c>
      <c r="C109" s="66"/>
      <c r="D109" s="67"/>
      <c r="E109" s="67"/>
      <c r="F109" s="67"/>
      <c r="G109" s="61"/>
      <c r="H109" s="66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72"/>
      <c r="AA109" s="67"/>
      <c r="AB109" s="67"/>
      <c r="AC109" s="67"/>
      <c r="AD109" s="68"/>
      <c r="AE109" s="72" t="str">
        <f t="shared" si="8"/>
        <v/>
      </c>
      <c r="AF109" s="224"/>
      <c r="AG109" s="224"/>
      <c r="AH109" s="224"/>
      <c r="AI109" s="225"/>
      <c r="AJ109" s="72" t="str">
        <f t="shared" si="6"/>
        <v/>
      </c>
      <c r="AK109" s="224"/>
      <c r="AL109" s="225"/>
      <c r="AM109" s="72" t="str">
        <f t="shared" si="7"/>
        <v/>
      </c>
      <c r="AN109" s="72"/>
    </row>
    <row r="110" spans="2:40">
      <c r="B110" s="62" t="str">
        <f t="shared" si="5"/>
        <v/>
      </c>
      <c r="C110" s="66"/>
      <c r="D110" s="67"/>
      <c r="E110" s="67"/>
      <c r="F110" s="67"/>
      <c r="G110" s="61"/>
      <c r="H110" s="66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72"/>
      <c r="AA110" s="67"/>
      <c r="AB110" s="67"/>
      <c r="AC110" s="67"/>
      <c r="AD110" s="68"/>
      <c r="AE110" s="72" t="str">
        <f t="shared" si="8"/>
        <v/>
      </c>
      <c r="AF110" s="224"/>
      <c r="AG110" s="224"/>
      <c r="AH110" s="224"/>
      <c r="AI110" s="225"/>
      <c r="AJ110" s="72" t="str">
        <f t="shared" si="6"/>
        <v/>
      </c>
      <c r="AK110" s="224"/>
      <c r="AL110" s="225"/>
      <c r="AM110" s="72" t="str">
        <f t="shared" si="7"/>
        <v/>
      </c>
      <c r="AN110" s="72"/>
    </row>
    <row r="111" spans="2:40">
      <c r="B111" s="62" t="str">
        <f t="shared" si="5"/>
        <v/>
      </c>
      <c r="C111" s="66"/>
      <c r="D111" s="67"/>
      <c r="E111" s="67"/>
      <c r="F111" s="67"/>
      <c r="G111" s="61"/>
      <c r="H111" s="66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72"/>
      <c r="AA111" s="67"/>
      <c r="AB111" s="67"/>
      <c r="AC111" s="67"/>
      <c r="AD111" s="68"/>
      <c r="AE111" s="72" t="str">
        <f t="shared" si="8"/>
        <v/>
      </c>
      <c r="AF111" s="224"/>
      <c r="AG111" s="224"/>
      <c r="AH111" s="224"/>
      <c r="AI111" s="225"/>
      <c r="AJ111" s="72" t="str">
        <f t="shared" si="6"/>
        <v/>
      </c>
      <c r="AK111" s="224"/>
      <c r="AL111" s="225"/>
      <c r="AM111" s="72" t="str">
        <f t="shared" si="7"/>
        <v/>
      </c>
      <c r="AN111" s="72"/>
    </row>
    <row r="112" spans="2:40">
      <c r="B112" s="62" t="str">
        <f t="shared" si="5"/>
        <v/>
      </c>
      <c r="C112" s="66"/>
      <c r="D112" s="67"/>
      <c r="E112" s="67"/>
      <c r="F112" s="67"/>
      <c r="G112" s="61"/>
      <c r="H112" s="66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72"/>
      <c r="AA112" s="67"/>
      <c r="AB112" s="67"/>
      <c r="AC112" s="67"/>
      <c r="AD112" s="68"/>
      <c r="AE112" s="72" t="str">
        <f t="shared" si="8"/>
        <v/>
      </c>
      <c r="AF112" s="224"/>
      <c r="AG112" s="224"/>
      <c r="AH112" s="224"/>
      <c r="AI112" s="225"/>
      <c r="AJ112" s="72" t="str">
        <f t="shared" si="6"/>
        <v/>
      </c>
      <c r="AK112" s="224"/>
      <c r="AL112" s="225"/>
      <c r="AM112" s="72" t="str">
        <f t="shared" si="7"/>
        <v/>
      </c>
      <c r="AN112" s="72"/>
    </row>
    <row r="113" spans="2:40">
      <c r="B113" s="62" t="str">
        <f t="shared" si="5"/>
        <v/>
      </c>
      <c r="C113" s="66"/>
      <c r="D113" s="67"/>
      <c r="E113" s="67"/>
      <c r="F113" s="67"/>
      <c r="G113" s="61"/>
      <c r="H113" s="66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72"/>
      <c r="AA113" s="67"/>
      <c r="AB113" s="67"/>
      <c r="AC113" s="67"/>
      <c r="AD113" s="68"/>
      <c r="AE113" s="72" t="str">
        <f t="shared" si="8"/>
        <v/>
      </c>
      <c r="AF113" s="224"/>
      <c r="AG113" s="224"/>
      <c r="AH113" s="224"/>
      <c r="AI113" s="225"/>
      <c r="AJ113" s="72" t="str">
        <f t="shared" si="6"/>
        <v/>
      </c>
      <c r="AK113" s="224"/>
      <c r="AL113" s="225"/>
      <c r="AM113" s="72" t="str">
        <f t="shared" si="7"/>
        <v/>
      </c>
      <c r="AN113" s="72"/>
    </row>
    <row r="114" spans="2:40">
      <c r="B114" s="62" t="str">
        <f t="shared" si="5"/>
        <v/>
      </c>
      <c r="C114" s="66"/>
      <c r="D114" s="67"/>
      <c r="E114" s="67"/>
      <c r="F114" s="67"/>
      <c r="G114" s="61"/>
      <c r="H114" s="66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72"/>
      <c r="AA114" s="67"/>
      <c r="AB114" s="67"/>
      <c r="AC114" s="67"/>
      <c r="AD114" s="68"/>
      <c r="AE114" s="72" t="str">
        <f t="shared" si="8"/>
        <v/>
      </c>
      <c r="AF114" s="224"/>
      <c r="AG114" s="224"/>
      <c r="AH114" s="224"/>
      <c r="AI114" s="225"/>
      <c r="AJ114" s="72" t="str">
        <f t="shared" si="6"/>
        <v/>
      </c>
      <c r="AK114" s="224"/>
      <c r="AL114" s="225"/>
      <c r="AM114" s="72" t="str">
        <f t="shared" si="7"/>
        <v/>
      </c>
      <c r="AN114" s="72"/>
    </row>
    <row r="115" spans="2:40">
      <c r="B115" s="62" t="str">
        <f t="shared" si="5"/>
        <v/>
      </c>
      <c r="C115" s="69"/>
      <c r="D115" s="67"/>
      <c r="E115" s="67"/>
      <c r="F115" s="67"/>
      <c r="G115" s="61"/>
      <c r="H115" s="69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72"/>
      <c r="AA115" s="67"/>
      <c r="AB115" s="67"/>
      <c r="AC115" s="67"/>
      <c r="AD115" s="68"/>
      <c r="AE115" s="72" t="str">
        <f t="shared" si="8"/>
        <v/>
      </c>
      <c r="AF115" s="224"/>
      <c r="AG115" s="224"/>
      <c r="AH115" s="224"/>
      <c r="AI115" s="225"/>
      <c r="AJ115" s="72" t="str">
        <f t="shared" si="6"/>
        <v/>
      </c>
      <c r="AK115" s="224"/>
      <c r="AL115" s="225"/>
      <c r="AM115" s="72" t="str">
        <f t="shared" si="7"/>
        <v/>
      </c>
      <c r="AN115" s="72"/>
    </row>
    <row r="116" spans="2:40">
      <c r="B116" s="62" t="str">
        <f t="shared" si="5"/>
        <v/>
      </c>
      <c r="C116" s="69"/>
      <c r="D116" s="67"/>
      <c r="E116" s="67"/>
      <c r="F116" s="67"/>
      <c r="G116" s="61"/>
      <c r="H116" s="69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72"/>
      <c r="AA116" s="67"/>
      <c r="AB116" s="67"/>
      <c r="AC116" s="67"/>
      <c r="AD116" s="68"/>
      <c r="AE116" s="72" t="str">
        <f t="shared" si="8"/>
        <v/>
      </c>
      <c r="AF116" s="224"/>
      <c r="AG116" s="224"/>
      <c r="AH116" s="224"/>
      <c r="AI116" s="225"/>
      <c r="AJ116" s="72" t="str">
        <f t="shared" si="6"/>
        <v/>
      </c>
      <c r="AK116" s="224"/>
      <c r="AL116" s="225"/>
      <c r="AM116" s="72" t="str">
        <f t="shared" si="7"/>
        <v/>
      </c>
      <c r="AN116" s="72"/>
    </row>
    <row r="117" spans="2:40">
      <c r="B117" s="62" t="str">
        <f t="shared" si="5"/>
        <v/>
      </c>
      <c r="C117" s="69"/>
      <c r="D117" s="67"/>
      <c r="E117" s="67"/>
      <c r="F117" s="67"/>
      <c r="G117" s="61"/>
      <c r="H117" s="69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72"/>
      <c r="AA117" s="67"/>
      <c r="AB117" s="67"/>
      <c r="AC117" s="67"/>
      <c r="AD117" s="68"/>
      <c r="AE117" s="72" t="str">
        <f t="shared" si="8"/>
        <v/>
      </c>
      <c r="AF117" s="224"/>
      <c r="AG117" s="224"/>
      <c r="AH117" s="224"/>
      <c r="AI117" s="225"/>
      <c r="AJ117" s="72" t="str">
        <f t="shared" si="6"/>
        <v/>
      </c>
      <c r="AK117" s="224"/>
      <c r="AL117" s="225"/>
      <c r="AM117" s="72" t="str">
        <f t="shared" si="7"/>
        <v/>
      </c>
      <c r="AN117" s="72"/>
    </row>
    <row r="118" spans="2:40">
      <c r="B118" s="62" t="str">
        <f t="shared" si="5"/>
        <v/>
      </c>
      <c r="C118" s="69"/>
      <c r="D118" s="67"/>
      <c r="E118" s="67"/>
      <c r="F118" s="67"/>
      <c r="G118" s="61"/>
      <c r="H118" s="69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72"/>
      <c r="AA118" s="67"/>
      <c r="AB118" s="67"/>
      <c r="AC118" s="67"/>
      <c r="AD118" s="68"/>
      <c r="AE118" s="72" t="str">
        <f t="shared" si="8"/>
        <v/>
      </c>
      <c r="AF118" s="224"/>
      <c r="AG118" s="224"/>
      <c r="AH118" s="224"/>
      <c r="AI118" s="225"/>
      <c r="AJ118" s="72" t="str">
        <f t="shared" si="6"/>
        <v/>
      </c>
      <c r="AK118" s="224"/>
      <c r="AL118" s="225"/>
      <c r="AM118" s="72" t="str">
        <f t="shared" si="7"/>
        <v/>
      </c>
      <c r="AN118" s="72"/>
    </row>
    <row r="119" spans="2:40">
      <c r="B119" s="62" t="str">
        <f t="shared" si="5"/>
        <v/>
      </c>
      <c r="C119" s="69"/>
      <c r="D119" s="67"/>
      <c r="E119" s="67"/>
      <c r="F119" s="67"/>
      <c r="G119" s="61"/>
      <c r="H119" s="69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72"/>
      <c r="AA119" s="67"/>
      <c r="AB119" s="67"/>
      <c r="AC119" s="67"/>
      <c r="AD119" s="68"/>
      <c r="AE119" s="72" t="str">
        <f t="shared" si="8"/>
        <v/>
      </c>
      <c r="AF119" s="224"/>
      <c r="AG119" s="224"/>
      <c r="AH119" s="224"/>
      <c r="AI119" s="225"/>
      <c r="AJ119" s="72" t="str">
        <f t="shared" si="6"/>
        <v/>
      </c>
      <c r="AK119" s="224"/>
      <c r="AL119" s="225"/>
      <c r="AM119" s="72" t="str">
        <f t="shared" si="7"/>
        <v/>
      </c>
      <c r="AN119" s="72"/>
    </row>
    <row r="120" spans="2:40">
      <c r="B120" s="62" t="str">
        <f t="shared" si="5"/>
        <v/>
      </c>
      <c r="C120" s="69"/>
      <c r="D120" s="67"/>
      <c r="E120" s="67"/>
      <c r="F120" s="67"/>
      <c r="G120" s="61"/>
      <c r="H120" s="69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72"/>
      <c r="AA120" s="67"/>
      <c r="AB120" s="67"/>
      <c r="AC120" s="67"/>
      <c r="AD120" s="68"/>
      <c r="AE120" s="72" t="str">
        <f t="shared" si="8"/>
        <v/>
      </c>
      <c r="AF120" s="224"/>
      <c r="AG120" s="224"/>
      <c r="AH120" s="224"/>
      <c r="AI120" s="225"/>
      <c r="AJ120" s="72" t="str">
        <f t="shared" si="6"/>
        <v/>
      </c>
      <c r="AK120" s="224"/>
      <c r="AL120" s="225"/>
      <c r="AM120" s="72" t="str">
        <f t="shared" si="7"/>
        <v/>
      </c>
      <c r="AN120" s="72"/>
    </row>
    <row r="121" spans="2:40">
      <c r="B121" s="62" t="str">
        <f t="shared" si="5"/>
        <v/>
      </c>
      <c r="C121" s="69"/>
      <c r="D121" s="67"/>
      <c r="E121" s="67"/>
      <c r="F121" s="67"/>
      <c r="G121" s="61"/>
      <c r="H121" s="69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72"/>
      <c r="AA121" s="67"/>
      <c r="AB121" s="67"/>
      <c r="AC121" s="67"/>
      <c r="AD121" s="68"/>
      <c r="AE121" s="72" t="str">
        <f t="shared" si="8"/>
        <v/>
      </c>
      <c r="AF121" s="224"/>
      <c r="AG121" s="224"/>
      <c r="AH121" s="224"/>
      <c r="AI121" s="225"/>
      <c r="AJ121" s="72" t="str">
        <f t="shared" si="6"/>
        <v/>
      </c>
      <c r="AK121" s="224"/>
      <c r="AL121" s="225"/>
      <c r="AM121" s="72" t="str">
        <f t="shared" si="7"/>
        <v/>
      </c>
      <c r="AN121" s="72"/>
    </row>
    <row r="122" spans="2:40">
      <c r="B122" s="62" t="str">
        <f t="shared" si="5"/>
        <v/>
      </c>
      <c r="C122" s="66"/>
      <c r="D122" s="67"/>
      <c r="E122" s="67"/>
      <c r="F122" s="67"/>
      <c r="G122" s="61"/>
      <c r="H122" s="69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72"/>
      <c r="AA122" s="67"/>
      <c r="AB122" s="67"/>
      <c r="AC122" s="67"/>
      <c r="AD122" s="68"/>
      <c r="AE122" s="72" t="str">
        <f t="shared" si="8"/>
        <v/>
      </c>
      <c r="AF122" s="224"/>
      <c r="AG122" s="224"/>
      <c r="AH122" s="224"/>
      <c r="AI122" s="225"/>
      <c r="AJ122" s="72" t="str">
        <f t="shared" si="6"/>
        <v/>
      </c>
      <c r="AK122" s="224"/>
      <c r="AL122" s="225"/>
      <c r="AM122" s="72" t="str">
        <f t="shared" si="7"/>
        <v/>
      </c>
      <c r="AN122" s="72"/>
    </row>
    <row r="123" spans="2:40">
      <c r="B123" s="62" t="str">
        <f t="shared" si="5"/>
        <v/>
      </c>
      <c r="C123" s="66"/>
      <c r="D123" s="67"/>
      <c r="E123" s="67"/>
      <c r="F123" s="67"/>
      <c r="G123" s="61"/>
      <c r="H123" s="69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72"/>
      <c r="AA123" s="67"/>
      <c r="AB123" s="67"/>
      <c r="AC123" s="67"/>
      <c r="AD123" s="68"/>
      <c r="AE123" s="72" t="str">
        <f t="shared" si="8"/>
        <v/>
      </c>
      <c r="AF123" s="224"/>
      <c r="AG123" s="224"/>
      <c r="AH123" s="224"/>
      <c r="AI123" s="225"/>
      <c r="AJ123" s="72" t="str">
        <f t="shared" si="6"/>
        <v/>
      </c>
      <c r="AK123" s="224"/>
      <c r="AL123" s="225"/>
      <c r="AM123" s="72" t="str">
        <f t="shared" si="7"/>
        <v/>
      </c>
      <c r="AN123" s="72"/>
    </row>
    <row r="124" spans="2:40">
      <c r="B124" s="62" t="str">
        <f t="shared" si="5"/>
        <v/>
      </c>
      <c r="C124" s="66"/>
      <c r="D124" s="67"/>
      <c r="E124" s="67"/>
      <c r="F124" s="67"/>
      <c r="G124" s="61"/>
      <c r="H124" s="69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72"/>
      <c r="AA124" s="67"/>
      <c r="AB124" s="67"/>
      <c r="AC124" s="67"/>
      <c r="AD124" s="68"/>
      <c r="AE124" s="72" t="str">
        <f t="shared" si="8"/>
        <v/>
      </c>
      <c r="AF124" s="224"/>
      <c r="AG124" s="224"/>
      <c r="AH124" s="224"/>
      <c r="AI124" s="225"/>
      <c r="AJ124" s="72" t="str">
        <f t="shared" si="6"/>
        <v/>
      </c>
      <c r="AK124" s="224"/>
      <c r="AL124" s="225"/>
      <c r="AM124" s="72" t="str">
        <f t="shared" si="7"/>
        <v/>
      </c>
      <c r="AN124" s="72"/>
    </row>
    <row r="125" spans="2:40">
      <c r="B125" s="62" t="str">
        <f t="shared" si="5"/>
        <v/>
      </c>
      <c r="C125" s="66"/>
      <c r="D125" s="67"/>
      <c r="E125" s="67"/>
      <c r="F125" s="67"/>
      <c r="G125" s="61"/>
      <c r="H125" s="69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72"/>
      <c r="AA125" s="67"/>
      <c r="AB125" s="67"/>
      <c r="AC125" s="67"/>
      <c r="AD125" s="68"/>
      <c r="AE125" s="72" t="str">
        <f t="shared" si="8"/>
        <v/>
      </c>
      <c r="AF125" s="224"/>
      <c r="AG125" s="224"/>
      <c r="AH125" s="224"/>
      <c r="AI125" s="225"/>
      <c r="AJ125" s="72" t="str">
        <f t="shared" si="6"/>
        <v/>
      </c>
      <c r="AK125" s="224"/>
      <c r="AL125" s="225"/>
      <c r="AM125" s="72" t="str">
        <f t="shared" si="7"/>
        <v/>
      </c>
      <c r="AN125" s="72"/>
    </row>
    <row r="126" spans="2:40">
      <c r="B126" s="62" t="str">
        <f t="shared" si="5"/>
        <v/>
      </c>
      <c r="C126" s="66"/>
      <c r="D126" s="67"/>
      <c r="E126" s="67"/>
      <c r="F126" s="67"/>
      <c r="G126" s="61"/>
      <c r="H126" s="69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72"/>
      <c r="AA126" s="67"/>
      <c r="AB126" s="67"/>
      <c r="AC126" s="67"/>
      <c r="AD126" s="68"/>
      <c r="AE126" s="72" t="str">
        <f t="shared" si="8"/>
        <v/>
      </c>
      <c r="AF126" s="224"/>
      <c r="AG126" s="224"/>
      <c r="AH126" s="224"/>
      <c r="AI126" s="225"/>
      <c r="AJ126" s="72" t="str">
        <f t="shared" si="6"/>
        <v/>
      </c>
      <c r="AK126" s="224"/>
      <c r="AL126" s="225"/>
      <c r="AM126" s="72" t="str">
        <f t="shared" si="7"/>
        <v/>
      </c>
      <c r="AN126" s="72"/>
    </row>
    <row r="127" spans="2:40">
      <c r="B127" s="62" t="str">
        <f t="shared" si="5"/>
        <v/>
      </c>
      <c r="C127" s="66"/>
      <c r="D127" s="67"/>
      <c r="E127" s="67"/>
      <c r="F127" s="67"/>
      <c r="G127" s="61"/>
      <c r="H127" s="69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72"/>
      <c r="AA127" s="67"/>
      <c r="AB127" s="67"/>
      <c r="AC127" s="67"/>
      <c r="AD127" s="68"/>
      <c r="AE127" s="72" t="str">
        <f t="shared" si="8"/>
        <v/>
      </c>
      <c r="AF127" s="224"/>
      <c r="AG127" s="224"/>
      <c r="AH127" s="224"/>
      <c r="AI127" s="225"/>
      <c r="AJ127" s="72" t="str">
        <f t="shared" si="6"/>
        <v/>
      </c>
      <c r="AK127" s="224"/>
      <c r="AL127" s="225"/>
      <c r="AM127" s="72" t="str">
        <f t="shared" si="7"/>
        <v/>
      </c>
      <c r="AN127" s="72"/>
    </row>
    <row r="128" spans="2:40">
      <c r="B128" s="62" t="str">
        <f t="shared" si="5"/>
        <v/>
      </c>
      <c r="C128" s="66"/>
      <c r="D128" s="67"/>
      <c r="E128" s="67"/>
      <c r="F128" s="67"/>
      <c r="G128" s="61"/>
      <c r="H128" s="69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72"/>
      <c r="AA128" s="67"/>
      <c r="AB128" s="67"/>
      <c r="AC128" s="67"/>
      <c r="AD128" s="68"/>
      <c r="AE128" s="72" t="str">
        <f t="shared" si="8"/>
        <v/>
      </c>
      <c r="AF128" s="224"/>
      <c r="AG128" s="224"/>
      <c r="AH128" s="224"/>
      <c r="AI128" s="225"/>
      <c r="AJ128" s="72" t="str">
        <f t="shared" si="6"/>
        <v/>
      </c>
      <c r="AK128" s="224"/>
      <c r="AL128" s="225"/>
      <c r="AM128" s="72" t="str">
        <f t="shared" si="7"/>
        <v/>
      </c>
      <c r="AN128" s="72"/>
    </row>
    <row r="129" spans="2:40">
      <c r="B129" s="62" t="str">
        <f t="shared" si="5"/>
        <v/>
      </c>
      <c r="C129" s="66"/>
      <c r="D129" s="67"/>
      <c r="E129" s="67"/>
      <c r="F129" s="67"/>
      <c r="G129" s="61"/>
      <c r="H129" s="69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72"/>
      <c r="AA129" s="67"/>
      <c r="AB129" s="67"/>
      <c r="AC129" s="67"/>
      <c r="AD129" s="68"/>
      <c r="AE129" s="72" t="str">
        <f t="shared" si="8"/>
        <v/>
      </c>
      <c r="AF129" s="224"/>
      <c r="AG129" s="224"/>
      <c r="AH129" s="224"/>
      <c r="AI129" s="225"/>
      <c r="AJ129" s="72" t="str">
        <f t="shared" si="6"/>
        <v/>
      </c>
      <c r="AK129" s="224"/>
      <c r="AL129" s="225"/>
      <c r="AM129" s="72" t="str">
        <f t="shared" si="7"/>
        <v/>
      </c>
      <c r="AN129" s="72"/>
    </row>
    <row r="130" spans="2:40">
      <c r="B130" s="62" t="str">
        <f t="shared" si="5"/>
        <v/>
      </c>
      <c r="C130" s="66"/>
      <c r="D130" s="67"/>
      <c r="E130" s="67"/>
      <c r="F130" s="67"/>
      <c r="G130" s="61"/>
      <c r="H130" s="69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72"/>
      <c r="AA130" s="67"/>
      <c r="AB130" s="67"/>
      <c r="AC130" s="67"/>
      <c r="AD130" s="68"/>
      <c r="AE130" s="72" t="str">
        <f t="shared" si="8"/>
        <v/>
      </c>
      <c r="AF130" s="224"/>
      <c r="AG130" s="224"/>
      <c r="AH130" s="224"/>
      <c r="AI130" s="225"/>
      <c r="AJ130" s="72" t="str">
        <f t="shared" si="6"/>
        <v/>
      </c>
      <c r="AK130" s="224"/>
      <c r="AL130" s="225"/>
      <c r="AM130" s="72" t="str">
        <f t="shared" si="7"/>
        <v/>
      </c>
      <c r="AN130" s="72"/>
    </row>
    <row r="131" spans="2:40">
      <c r="B131" s="62" t="str">
        <f t="shared" si="5"/>
        <v/>
      </c>
      <c r="C131" s="66"/>
      <c r="D131" s="67"/>
      <c r="E131" s="67"/>
      <c r="F131" s="67"/>
      <c r="G131" s="61"/>
      <c r="H131" s="69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72"/>
      <c r="AA131" s="67"/>
      <c r="AB131" s="67"/>
      <c r="AC131" s="67"/>
      <c r="AD131" s="68"/>
      <c r="AE131" s="72" t="str">
        <f t="shared" si="8"/>
        <v/>
      </c>
      <c r="AF131" s="224"/>
      <c r="AG131" s="224"/>
      <c r="AH131" s="224"/>
      <c r="AI131" s="225"/>
      <c r="AJ131" s="72" t="str">
        <f t="shared" si="6"/>
        <v/>
      </c>
      <c r="AK131" s="224"/>
      <c r="AL131" s="225"/>
      <c r="AM131" s="72" t="str">
        <f t="shared" si="7"/>
        <v/>
      </c>
      <c r="AN131" s="72"/>
    </row>
    <row r="132" spans="2:40">
      <c r="B132" s="62" t="str">
        <f t="shared" si="5"/>
        <v/>
      </c>
      <c r="C132" s="66"/>
      <c r="D132" s="67"/>
      <c r="E132" s="67"/>
      <c r="F132" s="67"/>
      <c r="G132" s="61"/>
      <c r="H132" s="69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72"/>
      <c r="AA132" s="67"/>
      <c r="AB132" s="67"/>
      <c r="AC132" s="67"/>
      <c r="AD132" s="68"/>
      <c r="AE132" s="72" t="str">
        <f t="shared" si="8"/>
        <v/>
      </c>
      <c r="AF132" s="224"/>
      <c r="AG132" s="224"/>
      <c r="AH132" s="224"/>
      <c r="AI132" s="225"/>
      <c r="AJ132" s="72" t="str">
        <f t="shared" si="6"/>
        <v/>
      </c>
      <c r="AK132" s="224"/>
      <c r="AL132" s="225"/>
      <c r="AM132" s="72" t="str">
        <f t="shared" si="7"/>
        <v/>
      </c>
      <c r="AN132" s="72"/>
    </row>
    <row r="133" spans="2:40">
      <c r="B133" s="62" t="str">
        <f t="shared" si="5"/>
        <v/>
      </c>
      <c r="C133" s="66"/>
      <c r="D133" s="67"/>
      <c r="E133" s="67"/>
      <c r="F133" s="67"/>
      <c r="G133" s="61"/>
      <c r="H133" s="69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72"/>
      <c r="AA133" s="67"/>
      <c r="AB133" s="67"/>
      <c r="AC133" s="67"/>
      <c r="AD133" s="68"/>
      <c r="AE133" s="72" t="str">
        <f t="shared" si="8"/>
        <v/>
      </c>
      <c r="AF133" s="224"/>
      <c r="AG133" s="224"/>
      <c r="AH133" s="224"/>
      <c r="AI133" s="225"/>
      <c r="AJ133" s="72" t="str">
        <f t="shared" si="6"/>
        <v/>
      </c>
      <c r="AK133" s="224"/>
      <c r="AL133" s="225"/>
      <c r="AM133" s="72" t="str">
        <f t="shared" si="7"/>
        <v/>
      </c>
      <c r="AN133" s="72"/>
    </row>
    <row r="134" spans="2:40">
      <c r="B134" s="62" t="str">
        <f t="shared" ref="B134:B197" si="9">LEFT(C134,3)</f>
        <v/>
      </c>
      <c r="C134" s="66"/>
      <c r="D134" s="67"/>
      <c r="E134" s="67"/>
      <c r="F134" s="67"/>
      <c r="G134" s="61"/>
      <c r="H134" s="69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72"/>
      <c r="AA134" s="67"/>
      <c r="AB134" s="67"/>
      <c r="AC134" s="67"/>
      <c r="AD134" s="68"/>
      <c r="AE134" s="72" t="str">
        <f t="shared" si="8"/>
        <v/>
      </c>
      <c r="AF134" s="224"/>
      <c r="AG134" s="224"/>
      <c r="AH134" s="224"/>
      <c r="AI134" s="225"/>
      <c r="AJ134" s="72" t="str">
        <f t="shared" ref="AJ134:AJ197" si="10">AE134</f>
        <v/>
      </c>
      <c r="AK134" s="224"/>
      <c r="AL134" s="225"/>
      <c r="AM134" s="72" t="str">
        <f t="shared" ref="AM134:AM197" si="11">AE134</f>
        <v/>
      </c>
      <c r="AN134" s="72"/>
    </row>
    <row r="135" spans="2:40">
      <c r="B135" s="62" t="str">
        <f t="shared" si="9"/>
        <v/>
      </c>
      <c r="C135" s="66"/>
      <c r="D135" s="67"/>
      <c r="E135" s="67"/>
      <c r="F135" s="67"/>
      <c r="G135" s="61"/>
      <c r="H135" s="69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72"/>
      <c r="AA135" s="67"/>
      <c r="AB135" s="67"/>
      <c r="AC135" s="67"/>
      <c r="AD135" s="68"/>
      <c r="AE135" s="72" t="str">
        <f t="shared" ref="AE135:AE198" si="12">IF(C135="","",C135)</f>
        <v/>
      </c>
      <c r="AF135" s="224"/>
      <c r="AG135" s="224"/>
      <c r="AH135" s="224"/>
      <c r="AI135" s="225"/>
      <c r="AJ135" s="72" t="str">
        <f t="shared" si="10"/>
        <v/>
      </c>
      <c r="AK135" s="224"/>
      <c r="AL135" s="225"/>
      <c r="AM135" s="72" t="str">
        <f t="shared" si="11"/>
        <v/>
      </c>
      <c r="AN135" s="72"/>
    </row>
    <row r="136" spans="2:40">
      <c r="B136" s="62" t="str">
        <f t="shared" si="9"/>
        <v/>
      </c>
      <c r="C136" s="66"/>
      <c r="D136" s="67"/>
      <c r="E136" s="67"/>
      <c r="F136" s="67"/>
      <c r="G136" s="61"/>
      <c r="H136" s="69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72"/>
      <c r="AA136" s="67"/>
      <c r="AB136" s="67"/>
      <c r="AC136" s="67"/>
      <c r="AD136" s="68"/>
      <c r="AE136" s="72" t="str">
        <f t="shared" si="12"/>
        <v/>
      </c>
      <c r="AF136" s="224"/>
      <c r="AG136" s="224"/>
      <c r="AH136" s="224"/>
      <c r="AI136" s="225"/>
      <c r="AJ136" s="72" t="str">
        <f t="shared" si="10"/>
        <v/>
      </c>
      <c r="AK136" s="224"/>
      <c r="AL136" s="225"/>
      <c r="AM136" s="72" t="str">
        <f t="shared" si="11"/>
        <v/>
      </c>
      <c r="AN136" s="72"/>
    </row>
    <row r="137" spans="2:40">
      <c r="B137" s="62" t="str">
        <f t="shared" si="9"/>
        <v/>
      </c>
      <c r="C137" s="66"/>
      <c r="D137" s="67"/>
      <c r="E137" s="67"/>
      <c r="F137" s="67"/>
      <c r="G137" s="61"/>
      <c r="H137" s="69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72"/>
      <c r="AA137" s="67"/>
      <c r="AB137" s="67"/>
      <c r="AC137" s="67"/>
      <c r="AD137" s="68"/>
      <c r="AE137" s="72" t="str">
        <f t="shared" si="12"/>
        <v/>
      </c>
      <c r="AF137" s="224"/>
      <c r="AG137" s="224"/>
      <c r="AH137" s="224"/>
      <c r="AI137" s="225"/>
      <c r="AJ137" s="72" t="str">
        <f t="shared" si="10"/>
        <v/>
      </c>
      <c r="AK137" s="224"/>
      <c r="AL137" s="225"/>
      <c r="AM137" s="72" t="str">
        <f t="shared" si="11"/>
        <v/>
      </c>
      <c r="AN137" s="72"/>
    </row>
    <row r="138" spans="2:40">
      <c r="B138" s="62" t="str">
        <f t="shared" si="9"/>
        <v/>
      </c>
      <c r="C138" s="66"/>
      <c r="D138" s="67"/>
      <c r="E138" s="67"/>
      <c r="F138" s="67"/>
      <c r="G138" s="61"/>
      <c r="H138" s="69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72"/>
      <c r="AA138" s="67"/>
      <c r="AB138" s="67"/>
      <c r="AC138" s="67"/>
      <c r="AD138" s="68"/>
      <c r="AE138" s="72" t="str">
        <f t="shared" si="12"/>
        <v/>
      </c>
      <c r="AF138" s="224"/>
      <c r="AG138" s="224"/>
      <c r="AH138" s="224"/>
      <c r="AI138" s="225"/>
      <c r="AJ138" s="72" t="str">
        <f t="shared" si="10"/>
        <v/>
      </c>
      <c r="AK138" s="224"/>
      <c r="AL138" s="225"/>
      <c r="AM138" s="72" t="str">
        <f t="shared" si="11"/>
        <v/>
      </c>
      <c r="AN138" s="72"/>
    </row>
    <row r="139" spans="2:40">
      <c r="B139" s="62" t="str">
        <f t="shared" si="9"/>
        <v/>
      </c>
      <c r="C139" s="66"/>
      <c r="D139" s="67"/>
      <c r="E139" s="67"/>
      <c r="F139" s="67"/>
      <c r="G139" s="61"/>
      <c r="H139" s="69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72"/>
      <c r="AA139" s="67"/>
      <c r="AB139" s="67"/>
      <c r="AC139" s="67"/>
      <c r="AD139" s="68"/>
      <c r="AE139" s="72" t="str">
        <f t="shared" si="12"/>
        <v/>
      </c>
      <c r="AF139" s="224"/>
      <c r="AG139" s="224"/>
      <c r="AH139" s="224"/>
      <c r="AI139" s="225"/>
      <c r="AJ139" s="72" t="str">
        <f t="shared" si="10"/>
        <v/>
      </c>
      <c r="AK139" s="224"/>
      <c r="AL139" s="225"/>
      <c r="AM139" s="72" t="str">
        <f t="shared" si="11"/>
        <v/>
      </c>
      <c r="AN139" s="72"/>
    </row>
    <row r="140" spans="2:40">
      <c r="B140" s="62" t="str">
        <f t="shared" si="9"/>
        <v/>
      </c>
      <c r="C140" s="66"/>
      <c r="D140" s="67"/>
      <c r="E140" s="67"/>
      <c r="F140" s="67"/>
      <c r="G140" s="61"/>
      <c r="H140" s="69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72"/>
      <c r="AA140" s="67"/>
      <c r="AB140" s="67"/>
      <c r="AC140" s="67"/>
      <c r="AD140" s="68"/>
      <c r="AE140" s="72" t="str">
        <f t="shared" si="12"/>
        <v/>
      </c>
      <c r="AF140" s="224"/>
      <c r="AG140" s="224"/>
      <c r="AH140" s="224"/>
      <c r="AI140" s="225"/>
      <c r="AJ140" s="72" t="str">
        <f t="shared" si="10"/>
        <v/>
      </c>
      <c r="AK140" s="224"/>
      <c r="AL140" s="225"/>
      <c r="AM140" s="72" t="str">
        <f t="shared" si="11"/>
        <v/>
      </c>
      <c r="AN140" s="72"/>
    </row>
    <row r="141" spans="2:40">
      <c r="B141" s="62" t="str">
        <f t="shared" si="9"/>
        <v/>
      </c>
      <c r="C141" s="66"/>
      <c r="D141" s="67"/>
      <c r="E141" s="67"/>
      <c r="F141" s="67"/>
      <c r="G141" s="61"/>
      <c r="H141" s="69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72"/>
      <c r="AA141" s="67"/>
      <c r="AB141" s="67"/>
      <c r="AC141" s="67"/>
      <c r="AD141" s="68"/>
      <c r="AE141" s="72" t="str">
        <f t="shared" si="12"/>
        <v/>
      </c>
      <c r="AF141" s="224"/>
      <c r="AG141" s="224"/>
      <c r="AH141" s="224"/>
      <c r="AI141" s="225"/>
      <c r="AJ141" s="72" t="str">
        <f t="shared" si="10"/>
        <v/>
      </c>
      <c r="AK141" s="224"/>
      <c r="AL141" s="225"/>
      <c r="AM141" s="72" t="str">
        <f t="shared" si="11"/>
        <v/>
      </c>
      <c r="AN141" s="72"/>
    </row>
    <row r="142" spans="2:40">
      <c r="B142" s="62" t="str">
        <f t="shared" si="9"/>
        <v/>
      </c>
      <c r="C142" s="66"/>
      <c r="D142" s="67"/>
      <c r="E142" s="67"/>
      <c r="F142" s="67"/>
      <c r="G142" s="61"/>
      <c r="H142" s="69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72"/>
      <c r="AA142" s="67"/>
      <c r="AB142" s="67"/>
      <c r="AC142" s="67"/>
      <c r="AD142" s="68"/>
      <c r="AE142" s="72" t="str">
        <f t="shared" si="12"/>
        <v/>
      </c>
      <c r="AF142" s="224"/>
      <c r="AG142" s="224"/>
      <c r="AH142" s="224"/>
      <c r="AI142" s="225"/>
      <c r="AJ142" s="72" t="str">
        <f t="shared" si="10"/>
        <v/>
      </c>
      <c r="AK142" s="224"/>
      <c r="AL142" s="225"/>
      <c r="AM142" s="72" t="str">
        <f t="shared" si="11"/>
        <v/>
      </c>
      <c r="AN142" s="72"/>
    </row>
    <row r="143" spans="2:40">
      <c r="B143" s="62" t="str">
        <f t="shared" si="9"/>
        <v/>
      </c>
      <c r="C143" s="66"/>
      <c r="D143" s="67"/>
      <c r="E143" s="67"/>
      <c r="F143" s="67"/>
      <c r="G143" s="61"/>
      <c r="H143" s="69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72"/>
      <c r="AA143" s="67"/>
      <c r="AB143" s="67"/>
      <c r="AC143" s="67"/>
      <c r="AD143" s="68"/>
      <c r="AE143" s="72" t="str">
        <f t="shared" si="12"/>
        <v/>
      </c>
      <c r="AF143" s="224"/>
      <c r="AG143" s="224"/>
      <c r="AH143" s="224"/>
      <c r="AI143" s="225"/>
      <c r="AJ143" s="72" t="str">
        <f t="shared" si="10"/>
        <v/>
      </c>
      <c r="AK143" s="224"/>
      <c r="AL143" s="225"/>
      <c r="AM143" s="72" t="str">
        <f t="shared" si="11"/>
        <v/>
      </c>
      <c r="AN143" s="72"/>
    </row>
    <row r="144" spans="2:40">
      <c r="B144" s="62" t="str">
        <f t="shared" si="9"/>
        <v/>
      </c>
      <c r="C144" s="66"/>
      <c r="D144" s="67"/>
      <c r="E144" s="67"/>
      <c r="F144" s="67"/>
      <c r="G144" s="61"/>
      <c r="H144" s="69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72"/>
      <c r="AA144" s="67"/>
      <c r="AB144" s="67"/>
      <c r="AC144" s="67"/>
      <c r="AD144" s="68"/>
      <c r="AE144" s="72" t="str">
        <f t="shared" si="12"/>
        <v/>
      </c>
      <c r="AF144" s="224"/>
      <c r="AG144" s="224"/>
      <c r="AH144" s="224"/>
      <c r="AI144" s="225"/>
      <c r="AJ144" s="72" t="str">
        <f t="shared" si="10"/>
        <v/>
      </c>
      <c r="AK144" s="224"/>
      <c r="AL144" s="225"/>
      <c r="AM144" s="72" t="str">
        <f t="shared" si="11"/>
        <v/>
      </c>
      <c r="AN144" s="72"/>
    </row>
    <row r="145" spans="2:40">
      <c r="B145" s="62" t="str">
        <f t="shared" si="9"/>
        <v/>
      </c>
      <c r="C145" s="66"/>
      <c r="D145" s="67"/>
      <c r="E145" s="67"/>
      <c r="F145" s="67"/>
      <c r="G145" s="61"/>
      <c r="H145" s="69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72"/>
      <c r="AA145" s="67"/>
      <c r="AB145" s="67"/>
      <c r="AC145" s="67"/>
      <c r="AD145" s="68"/>
      <c r="AE145" s="72" t="str">
        <f t="shared" si="12"/>
        <v/>
      </c>
      <c r="AF145" s="224"/>
      <c r="AG145" s="224"/>
      <c r="AH145" s="224"/>
      <c r="AI145" s="225"/>
      <c r="AJ145" s="72" t="str">
        <f t="shared" si="10"/>
        <v/>
      </c>
      <c r="AK145" s="224"/>
      <c r="AL145" s="225"/>
      <c r="AM145" s="72" t="str">
        <f t="shared" si="11"/>
        <v/>
      </c>
      <c r="AN145" s="72"/>
    </row>
    <row r="146" spans="2:40">
      <c r="B146" s="62" t="str">
        <f t="shared" si="9"/>
        <v/>
      </c>
      <c r="C146" s="66"/>
      <c r="D146" s="67"/>
      <c r="E146" s="67"/>
      <c r="F146" s="67"/>
      <c r="G146" s="61"/>
      <c r="H146" s="69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72"/>
      <c r="AA146" s="67"/>
      <c r="AB146" s="67"/>
      <c r="AC146" s="67"/>
      <c r="AD146" s="68"/>
      <c r="AE146" s="72" t="str">
        <f t="shared" si="12"/>
        <v/>
      </c>
      <c r="AF146" s="224"/>
      <c r="AG146" s="224"/>
      <c r="AH146" s="224"/>
      <c r="AI146" s="225"/>
      <c r="AJ146" s="72" t="str">
        <f t="shared" si="10"/>
        <v/>
      </c>
      <c r="AK146" s="224"/>
      <c r="AL146" s="225"/>
      <c r="AM146" s="72" t="str">
        <f t="shared" si="11"/>
        <v/>
      </c>
      <c r="AN146" s="72"/>
    </row>
    <row r="147" spans="2:40">
      <c r="B147" s="62" t="str">
        <f t="shared" si="9"/>
        <v/>
      </c>
      <c r="C147" s="66"/>
      <c r="D147" s="67"/>
      <c r="E147" s="67"/>
      <c r="F147" s="67"/>
      <c r="G147" s="61"/>
      <c r="H147" s="69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72"/>
      <c r="AA147" s="67"/>
      <c r="AB147" s="67"/>
      <c r="AC147" s="67"/>
      <c r="AD147" s="68"/>
      <c r="AE147" s="72" t="str">
        <f t="shared" si="12"/>
        <v/>
      </c>
      <c r="AF147" s="224"/>
      <c r="AG147" s="224"/>
      <c r="AH147" s="224"/>
      <c r="AI147" s="225"/>
      <c r="AJ147" s="72" t="str">
        <f t="shared" si="10"/>
        <v/>
      </c>
      <c r="AK147" s="224"/>
      <c r="AL147" s="225"/>
      <c r="AM147" s="72" t="str">
        <f t="shared" si="11"/>
        <v/>
      </c>
      <c r="AN147" s="72"/>
    </row>
    <row r="148" spans="2:40">
      <c r="B148" s="62" t="str">
        <f t="shared" si="9"/>
        <v/>
      </c>
      <c r="C148" s="66"/>
      <c r="D148" s="67"/>
      <c r="E148" s="67"/>
      <c r="F148" s="67"/>
      <c r="G148" s="61"/>
      <c r="H148" s="69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72"/>
      <c r="AA148" s="67"/>
      <c r="AB148" s="67"/>
      <c r="AC148" s="67"/>
      <c r="AD148" s="68"/>
      <c r="AE148" s="72" t="str">
        <f t="shared" si="12"/>
        <v/>
      </c>
      <c r="AF148" s="224"/>
      <c r="AG148" s="224"/>
      <c r="AH148" s="224"/>
      <c r="AI148" s="225"/>
      <c r="AJ148" s="72" t="str">
        <f t="shared" si="10"/>
        <v/>
      </c>
      <c r="AK148" s="224"/>
      <c r="AL148" s="225"/>
      <c r="AM148" s="72" t="str">
        <f t="shared" si="11"/>
        <v/>
      </c>
      <c r="AN148" s="72"/>
    </row>
    <row r="149" spans="2:40">
      <c r="B149" s="62" t="str">
        <f t="shared" si="9"/>
        <v/>
      </c>
      <c r="C149" s="66"/>
      <c r="D149" s="67"/>
      <c r="E149" s="67"/>
      <c r="F149" s="67"/>
      <c r="G149" s="61"/>
      <c r="H149" s="69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72"/>
      <c r="AA149" s="67"/>
      <c r="AB149" s="67"/>
      <c r="AC149" s="67"/>
      <c r="AD149" s="68"/>
      <c r="AE149" s="72" t="str">
        <f t="shared" si="12"/>
        <v/>
      </c>
      <c r="AF149" s="224"/>
      <c r="AG149" s="224"/>
      <c r="AH149" s="224"/>
      <c r="AI149" s="225"/>
      <c r="AJ149" s="72" t="str">
        <f t="shared" si="10"/>
        <v/>
      </c>
      <c r="AK149" s="224"/>
      <c r="AL149" s="225"/>
      <c r="AM149" s="72" t="str">
        <f t="shared" si="11"/>
        <v/>
      </c>
      <c r="AN149" s="72"/>
    </row>
    <row r="150" spans="2:40">
      <c r="B150" s="62" t="str">
        <f t="shared" si="9"/>
        <v/>
      </c>
      <c r="C150" s="66"/>
      <c r="D150" s="67"/>
      <c r="E150" s="67"/>
      <c r="F150" s="67"/>
      <c r="G150" s="61"/>
      <c r="H150" s="69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72"/>
      <c r="AA150" s="67"/>
      <c r="AB150" s="67"/>
      <c r="AC150" s="67"/>
      <c r="AD150" s="68"/>
      <c r="AE150" s="72" t="str">
        <f t="shared" si="12"/>
        <v/>
      </c>
      <c r="AF150" s="224"/>
      <c r="AG150" s="224"/>
      <c r="AH150" s="224"/>
      <c r="AI150" s="225"/>
      <c r="AJ150" s="72" t="str">
        <f t="shared" si="10"/>
        <v/>
      </c>
      <c r="AK150" s="224"/>
      <c r="AL150" s="225"/>
      <c r="AM150" s="72" t="str">
        <f t="shared" si="11"/>
        <v/>
      </c>
      <c r="AN150" s="72"/>
    </row>
    <row r="151" spans="2:40">
      <c r="B151" s="62" t="str">
        <f t="shared" si="9"/>
        <v/>
      </c>
      <c r="C151" s="66"/>
      <c r="D151" s="67"/>
      <c r="E151" s="67"/>
      <c r="F151" s="67"/>
      <c r="G151" s="61"/>
      <c r="H151" s="69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72"/>
      <c r="AA151" s="67"/>
      <c r="AB151" s="67"/>
      <c r="AC151" s="67"/>
      <c r="AD151" s="68"/>
      <c r="AE151" s="72" t="str">
        <f t="shared" si="12"/>
        <v/>
      </c>
      <c r="AF151" s="224"/>
      <c r="AG151" s="224"/>
      <c r="AH151" s="224"/>
      <c r="AI151" s="225"/>
      <c r="AJ151" s="72" t="str">
        <f t="shared" si="10"/>
        <v/>
      </c>
      <c r="AK151" s="224"/>
      <c r="AL151" s="225"/>
      <c r="AM151" s="72" t="str">
        <f t="shared" si="11"/>
        <v/>
      </c>
      <c r="AN151" s="72"/>
    </row>
    <row r="152" spans="2:40">
      <c r="B152" s="62" t="str">
        <f t="shared" si="9"/>
        <v/>
      </c>
      <c r="C152" s="66"/>
      <c r="D152" s="67"/>
      <c r="E152" s="67"/>
      <c r="F152" s="67"/>
      <c r="G152" s="61"/>
      <c r="H152" s="69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72"/>
      <c r="AA152" s="67"/>
      <c r="AB152" s="67"/>
      <c r="AC152" s="67"/>
      <c r="AD152" s="68"/>
      <c r="AE152" s="72" t="str">
        <f t="shared" si="12"/>
        <v/>
      </c>
      <c r="AF152" s="224"/>
      <c r="AG152" s="224"/>
      <c r="AH152" s="224"/>
      <c r="AI152" s="225"/>
      <c r="AJ152" s="72" t="str">
        <f t="shared" si="10"/>
        <v/>
      </c>
      <c r="AK152" s="224"/>
      <c r="AL152" s="225"/>
      <c r="AM152" s="72" t="str">
        <f t="shared" si="11"/>
        <v/>
      </c>
      <c r="AN152" s="72"/>
    </row>
    <row r="153" spans="2:40">
      <c r="B153" s="62" t="str">
        <f t="shared" si="9"/>
        <v/>
      </c>
      <c r="C153" s="66"/>
      <c r="D153" s="67"/>
      <c r="E153" s="67"/>
      <c r="F153" s="67"/>
      <c r="G153" s="61"/>
      <c r="H153" s="69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72"/>
      <c r="AA153" s="67"/>
      <c r="AB153" s="67"/>
      <c r="AC153" s="67"/>
      <c r="AD153" s="68"/>
      <c r="AE153" s="72" t="str">
        <f t="shared" si="12"/>
        <v/>
      </c>
      <c r="AF153" s="224"/>
      <c r="AG153" s="224"/>
      <c r="AH153" s="224"/>
      <c r="AI153" s="225"/>
      <c r="AJ153" s="72" t="str">
        <f t="shared" si="10"/>
        <v/>
      </c>
      <c r="AK153" s="224"/>
      <c r="AL153" s="225"/>
      <c r="AM153" s="72" t="str">
        <f t="shared" si="11"/>
        <v/>
      </c>
      <c r="AN153" s="72"/>
    </row>
    <row r="154" spans="2:40">
      <c r="B154" s="62" t="str">
        <f t="shared" si="9"/>
        <v/>
      </c>
      <c r="C154" s="66"/>
      <c r="D154" s="67"/>
      <c r="E154" s="67"/>
      <c r="F154" s="67"/>
      <c r="G154" s="61"/>
      <c r="H154" s="69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72"/>
      <c r="AA154" s="67"/>
      <c r="AB154" s="67"/>
      <c r="AC154" s="67"/>
      <c r="AD154" s="68"/>
      <c r="AE154" s="72" t="str">
        <f t="shared" si="12"/>
        <v/>
      </c>
      <c r="AF154" s="224"/>
      <c r="AG154" s="224"/>
      <c r="AH154" s="224"/>
      <c r="AI154" s="225"/>
      <c r="AJ154" s="72" t="str">
        <f t="shared" si="10"/>
        <v/>
      </c>
      <c r="AK154" s="224"/>
      <c r="AL154" s="225"/>
      <c r="AM154" s="72" t="str">
        <f t="shared" si="11"/>
        <v/>
      </c>
      <c r="AN154" s="72"/>
    </row>
    <row r="155" spans="2:40">
      <c r="B155" s="62" t="str">
        <f t="shared" si="9"/>
        <v/>
      </c>
      <c r="C155" s="66"/>
      <c r="D155" s="67"/>
      <c r="E155" s="67"/>
      <c r="F155" s="67"/>
      <c r="G155" s="61"/>
      <c r="H155" s="69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72"/>
      <c r="AA155" s="67"/>
      <c r="AB155" s="67"/>
      <c r="AC155" s="67"/>
      <c r="AD155" s="68"/>
      <c r="AE155" s="72" t="str">
        <f t="shared" si="12"/>
        <v/>
      </c>
      <c r="AF155" s="224"/>
      <c r="AG155" s="224"/>
      <c r="AH155" s="224"/>
      <c r="AI155" s="225"/>
      <c r="AJ155" s="72" t="str">
        <f t="shared" si="10"/>
        <v/>
      </c>
      <c r="AK155" s="224"/>
      <c r="AL155" s="225"/>
      <c r="AM155" s="72" t="str">
        <f t="shared" si="11"/>
        <v/>
      </c>
      <c r="AN155" s="72"/>
    </row>
    <row r="156" spans="2:40">
      <c r="B156" s="62" t="str">
        <f t="shared" si="9"/>
        <v/>
      </c>
      <c r="C156" s="66"/>
      <c r="D156" s="67"/>
      <c r="E156" s="67"/>
      <c r="F156" s="67"/>
      <c r="G156" s="61"/>
      <c r="H156" s="69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72"/>
      <c r="AA156" s="67"/>
      <c r="AB156" s="67"/>
      <c r="AC156" s="67"/>
      <c r="AD156" s="68"/>
      <c r="AE156" s="72" t="str">
        <f t="shared" si="12"/>
        <v/>
      </c>
      <c r="AF156" s="224"/>
      <c r="AG156" s="224"/>
      <c r="AH156" s="224"/>
      <c r="AI156" s="225"/>
      <c r="AJ156" s="72" t="str">
        <f t="shared" si="10"/>
        <v/>
      </c>
      <c r="AK156" s="224"/>
      <c r="AL156" s="225"/>
      <c r="AM156" s="72" t="str">
        <f t="shared" si="11"/>
        <v/>
      </c>
      <c r="AN156" s="72"/>
    </row>
    <row r="157" spans="2:40">
      <c r="B157" s="62" t="str">
        <f t="shared" si="9"/>
        <v/>
      </c>
      <c r="C157" s="66"/>
      <c r="D157" s="67"/>
      <c r="E157" s="67"/>
      <c r="F157" s="67"/>
      <c r="G157" s="61"/>
      <c r="H157" s="69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72"/>
      <c r="AA157" s="67"/>
      <c r="AB157" s="67"/>
      <c r="AC157" s="67"/>
      <c r="AD157" s="68"/>
      <c r="AE157" s="72" t="str">
        <f t="shared" si="12"/>
        <v/>
      </c>
      <c r="AF157" s="224"/>
      <c r="AG157" s="224"/>
      <c r="AH157" s="224"/>
      <c r="AI157" s="225"/>
      <c r="AJ157" s="72" t="str">
        <f t="shared" si="10"/>
        <v/>
      </c>
      <c r="AK157" s="224"/>
      <c r="AL157" s="225"/>
      <c r="AM157" s="72" t="str">
        <f t="shared" si="11"/>
        <v/>
      </c>
      <c r="AN157" s="72"/>
    </row>
    <row r="158" spans="2:40">
      <c r="B158" s="62" t="str">
        <f t="shared" si="9"/>
        <v/>
      </c>
      <c r="C158" s="66"/>
      <c r="D158" s="67"/>
      <c r="E158" s="67"/>
      <c r="F158" s="67"/>
      <c r="G158" s="61"/>
      <c r="H158" s="69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72"/>
      <c r="AA158" s="67"/>
      <c r="AB158" s="67"/>
      <c r="AC158" s="67"/>
      <c r="AD158" s="68"/>
      <c r="AE158" s="72" t="str">
        <f t="shared" si="12"/>
        <v/>
      </c>
      <c r="AF158" s="224"/>
      <c r="AG158" s="224"/>
      <c r="AH158" s="224"/>
      <c r="AI158" s="225"/>
      <c r="AJ158" s="72" t="str">
        <f t="shared" si="10"/>
        <v/>
      </c>
      <c r="AK158" s="224"/>
      <c r="AL158" s="225"/>
      <c r="AM158" s="72" t="str">
        <f t="shared" si="11"/>
        <v/>
      </c>
      <c r="AN158" s="72"/>
    </row>
    <row r="159" spans="2:40">
      <c r="B159" s="62" t="str">
        <f t="shared" si="9"/>
        <v/>
      </c>
      <c r="C159" s="66"/>
      <c r="D159" s="67"/>
      <c r="E159" s="67"/>
      <c r="F159" s="67"/>
      <c r="G159" s="61"/>
      <c r="H159" s="69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72"/>
      <c r="AA159" s="67"/>
      <c r="AB159" s="67"/>
      <c r="AC159" s="67"/>
      <c r="AD159" s="68"/>
      <c r="AE159" s="72" t="str">
        <f t="shared" si="12"/>
        <v/>
      </c>
      <c r="AF159" s="224"/>
      <c r="AG159" s="224"/>
      <c r="AH159" s="224"/>
      <c r="AI159" s="225"/>
      <c r="AJ159" s="72" t="str">
        <f t="shared" si="10"/>
        <v/>
      </c>
      <c r="AK159" s="224"/>
      <c r="AL159" s="225"/>
      <c r="AM159" s="72" t="str">
        <f t="shared" si="11"/>
        <v/>
      </c>
      <c r="AN159" s="72"/>
    </row>
    <row r="160" spans="2:40">
      <c r="B160" s="62" t="str">
        <f t="shared" si="9"/>
        <v/>
      </c>
      <c r="C160" s="66"/>
      <c r="D160" s="67"/>
      <c r="E160" s="67"/>
      <c r="F160" s="67"/>
      <c r="G160" s="61"/>
      <c r="H160" s="69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72"/>
      <c r="AA160" s="67"/>
      <c r="AB160" s="67"/>
      <c r="AC160" s="67"/>
      <c r="AD160" s="68"/>
      <c r="AE160" s="72" t="str">
        <f t="shared" si="12"/>
        <v/>
      </c>
      <c r="AF160" s="224"/>
      <c r="AG160" s="224"/>
      <c r="AH160" s="224"/>
      <c r="AI160" s="225"/>
      <c r="AJ160" s="72" t="str">
        <f t="shared" si="10"/>
        <v/>
      </c>
      <c r="AK160" s="224"/>
      <c r="AL160" s="225"/>
      <c r="AM160" s="72" t="str">
        <f t="shared" si="11"/>
        <v/>
      </c>
      <c r="AN160" s="72"/>
    </row>
    <row r="161" spans="2:40">
      <c r="B161" s="62" t="str">
        <f t="shared" si="9"/>
        <v/>
      </c>
      <c r="C161" s="66"/>
      <c r="D161" s="67"/>
      <c r="E161" s="67"/>
      <c r="F161" s="67"/>
      <c r="G161" s="61"/>
      <c r="H161" s="69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72"/>
      <c r="AA161" s="67"/>
      <c r="AB161" s="67"/>
      <c r="AC161" s="67"/>
      <c r="AD161" s="68"/>
      <c r="AE161" s="72" t="str">
        <f t="shared" si="12"/>
        <v/>
      </c>
      <c r="AF161" s="224"/>
      <c r="AG161" s="224"/>
      <c r="AH161" s="224"/>
      <c r="AI161" s="225"/>
      <c r="AJ161" s="72" t="str">
        <f t="shared" si="10"/>
        <v/>
      </c>
      <c r="AK161" s="224"/>
      <c r="AL161" s="225"/>
      <c r="AM161" s="72" t="str">
        <f t="shared" si="11"/>
        <v/>
      </c>
      <c r="AN161" s="72"/>
    </row>
    <row r="162" spans="2:40">
      <c r="B162" s="62" t="str">
        <f t="shared" si="9"/>
        <v/>
      </c>
      <c r="C162" s="66"/>
      <c r="D162" s="67"/>
      <c r="E162" s="67"/>
      <c r="F162" s="67"/>
      <c r="G162" s="61"/>
      <c r="H162" s="69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72"/>
      <c r="AA162" s="67"/>
      <c r="AB162" s="67"/>
      <c r="AC162" s="67"/>
      <c r="AD162" s="68"/>
      <c r="AE162" s="72" t="str">
        <f t="shared" si="12"/>
        <v/>
      </c>
      <c r="AF162" s="224"/>
      <c r="AG162" s="224"/>
      <c r="AH162" s="224"/>
      <c r="AI162" s="225"/>
      <c r="AJ162" s="72" t="str">
        <f t="shared" si="10"/>
        <v/>
      </c>
      <c r="AK162" s="224"/>
      <c r="AL162" s="225"/>
      <c r="AM162" s="72" t="str">
        <f t="shared" si="11"/>
        <v/>
      </c>
      <c r="AN162" s="72"/>
    </row>
    <row r="163" spans="2:40">
      <c r="B163" s="62" t="str">
        <f t="shared" si="9"/>
        <v/>
      </c>
      <c r="C163" s="66"/>
      <c r="D163" s="67"/>
      <c r="E163" s="67"/>
      <c r="F163" s="67"/>
      <c r="G163" s="61"/>
      <c r="H163" s="69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72"/>
      <c r="AA163" s="67"/>
      <c r="AB163" s="67"/>
      <c r="AC163" s="67"/>
      <c r="AD163" s="68"/>
      <c r="AE163" s="72" t="str">
        <f t="shared" si="12"/>
        <v/>
      </c>
      <c r="AF163" s="224"/>
      <c r="AG163" s="224"/>
      <c r="AH163" s="224"/>
      <c r="AI163" s="225"/>
      <c r="AJ163" s="72" t="str">
        <f t="shared" si="10"/>
        <v/>
      </c>
      <c r="AK163" s="224"/>
      <c r="AL163" s="225"/>
      <c r="AM163" s="72" t="str">
        <f t="shared" si="11"/>
        <v/>
      </c>
      <c r="AN163" s="72"/>
    </row>
    <row r="164" spans="2:40">
      <c r="B164" s="62" t="str">
        <f t="shared" si="9"/>
        <v/>
      </c>
      <c r="C164" s="66"/>
      <c r="D164" s="67"/>
      <c r="E164" s="67"/>
      <c r="F164" s="67"/>
      <c r="G164" s="61"/>
      <c r="H164" s="69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72"/>
      <c r="AA164" s="67"/>
      <c r="AB164" s="67"/>
      <c r="AC164" s="67"/>
      <c r="AD164" s="68"/>
      <c r="AE164" s="72" t="str">
        <f t="shared" si="12"/>
        <v/>
      </c>
      <c r="AF164" s="224"/>
      <c r="AG164" s="224"/>
      <c r="AH164" s="224"/>
      <c r="AI164" s="225"/>
      <c r="AJ164" s="72" t="str">
        <f t="shared" si="10"/>
        <v/>
      </c>
      <c r="AK164" s="224"/>
      <c r="AL164" s="225"/>
      <c r="AM164" s="72" t="str">
        <f t="shared" si="11"/>
        <v/>
      </c>
      <c r="AN164" s="72"/>
    </row>
    <row r="165" spans="2:40">
      <c r="B165" s="62" t="str">
        <f t="shared" si="9"/>
        <v/>
      </c>
      <c r="C165" s="66"/>
      <c r="D165" s="67"/>
      <c r="E165" s="67"/>
      <c r="F165" s="67"/>
      <c r="G165" s="61"/>
      <c r="H165" s="69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72"/>
      <c r="AA165" s="67"/>
      <c r="AB165" s="67"/>
      <c r="AC165" s="67"/>
      <c r="AD165" s="68"/>
      <c r="AE165" s="72" t="str">
        <f t="shared" si="12"/>
        <v/>
      </c>
      <c r="AF165" s="224"/>
      <c r="AG165" s="224"/>
      <c r="AH165" s="224"/>
      <c r="AI165" s="225"/>
      <c r="AJ165" s="72" t="str">
        <f t="shared" si="10"/>
        <v/>
      </c>
      <c r="AK165" s="224"/>
      <c r="AL165" s="225"/>
      <c r="AM165" s="72" t="str">
        <f t="shared" si="11"/>
        <v/>
      </c>
      <c r="AN165" s="72"/>
    </row>
    <row r="166" spans="2:40">
      <c r="B166" s="62" t="str">
        <f t="shared" si="9"/>
        <v/>
      </c>
      <c r="C166" s="66"/>
      <c r="D166" s="67"/>
      <c r="E166" s="67"/>
      <c r="F166" s="67"/>
      <c r="G166" s="61"/>
      <c r="H166" s="69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72"/>
      <c r="AA166" s="67"/>
      <c r="AB166" s="67"/>
      <c r="AC166" s="67"/>
      <c r="AD166" s="68"/>
      <c r="AE166" s="72" t="str">
        <f t="shared" si="12"/>
        <v/>
      </c>
      <c r="AF166" s="224"/>
      <c r="AG166" s="224"/>
      <c r="AH166" s="224"/>
      <c r="AI166" s="225"/>
      <c r="AJ166" s="72" t="str">
        <f t="shared" si="10"/>
        <v/>
      </c>
      <c r="AK166" s="224"/>
      <c r="AL166" s="225"/>
      <c r="AM166" s="72" t="str">
        <f t="shared" si="11"/>
        <v/>
      </c>
      <c r="AN166" s="72"/>
    </row>
    <row r="167" spans="2:40">
      <c r="B167" s="62" t="str">
        <f t="shared" si="9"/>
        <v/>
      </c>
      <c r="C167" s="66"/>
      <c r="D167" s="67"/>
      <c r="E167" s="67"/>
      <c r="F167" s="67"/>
      <c r="G167" s="61"/>
      <c r="H167" s="69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72"/>
      <c r="AA167" s="67"/>
      <c r="AB167" s="67"/>
      <c r="AC167" s="67"/>
      <c r="AD167" s="68"/>
      <c r="AE167" s="72" t="str">
        <f t="shared" si="12"/>
        <v/>
      </c>
      <c r="AF167" s="224"/>
      <c r="AG167" s="224"/>
      <c r="AH167" s="224"/>
      <c r="AI167" s="225"/>
      <c r="AJ167" s="72" t="str">
        <f t="shared" si="10"/>
        <v/>
      </c>
      <c r="AK167" s="224"/>
      <c r="AL167" s="225"/>
      <c r="AM167" s="72" t="str">
        <f t="shared" si="11"/>
        <v/>
      </c>
      <c r="AN167" s="72"/>
    </row>
    <row r="168" spans="2:40">
      <c r="B168" s="62" t="str">
        <f t="shared" si="9"/>
        <v/>
      </c>
      <c r="C168" s="66"/>
      <c r="D168" s="67"/>
      <c r="E168" s="67"/>
      <c r="F168" s="67"/>
      <c r="G168" s="61"/>
      <c r="H168" s="69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72"/>
      <c r="AA168" s="67"/>
      <c r="AB168" s="67"/>
      <c r="AC168" s="67"/>
      <c r="AD168" s="68"/>
      <c r="AE168" s="72" t="str">
        <f t="shared" si="12"/>
        <v/>
      </c>
      <c r="AF168" s="224"/>
      <c r="AG168" s="224"/>
      <c r="AH168" s="224"/>
      <c r="AI168" s="225"/>
      <c r="AJ168" s="72" t="str">
        <f t="shared" si="10"/>
        <v/>
      </c>
      <c r="AK168" s="224"/>
      <c r="AL168" s="225"/>
      <c r="AM168" s="72" t="str">
        <f t="shared" si="11"/>
        <v/>
      </c>
      <c r="AN168" s="72"/>
    </row>
    <row r="169" spans="2:40">
      <c r="B169" s="62" t="str">
        <f t="shared" si="9"/>
        <v/>
      </c>
      <c r="C169" s="66"/>
      <c r="D169" s="67"/>
      <c r="E169" s="67"/>
      <c r="F169" s="67"/>
      <c r="G169" s="61"/>
      <c r="H169" s="69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72"/>
      <c r="AA169" s="67"/>
      <c r="AB169" s="67"/>
      <c r="AC169" s="67"/>
      <c r="AD169" s="68"/>
      <c r="AE169" s="72" t="str">
        <f t="shared" si="12"/>
        <v/>
      </c>
      <c r="AF169" s="224"/>
      <c r="AG169" s="224"/>
      <c r="AH169" s="224"/>
      <c r="AI169" s="225"/>
      <c r="AJ169" s="72" t="str">
        <f t="shared" si="10"/>
        <v/>
      </c>
      <c r="AK169" s="224"/>
      <c r="AL169" s="225"/>
      <c r="AM169" s="72" t="str">
        <f t="shared" si="11"/>
        <v/>
      </c>
      <c r="AN169" s="72"/>
    </row>
    <row r="170" spans="2:40">
      <c r="B170" s="62" t="str">
        <f t="shared" si="9"/>
        <v/>
      </c>
      <c r="C170" s="66"/>
      <c r="D170" s="67"/>
      <c r="E170" s="67"/>
      <c r="F170" s="67"/>
      <c r="G170" s="61"/>
      <c r="H170" s="69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72"/>
      <c r="AA170" s="67"/>
      <c r="AB170" s="67"/>
      <c r="AC170" s="67"/>
      <c r="AD170" s="68"/>
      <c r="AE170" s="72" t="str">
        <f t="shared" si="12"/>
        <v/>
      </c>
      <c r="AF170" s="224"/>
      <c r="AG170" s="224"/>
      <c r="AH170" s="224"/>
      <c r="AI170" s="225"/>
      <c r="AJ170" s="72" t="str">
        <f t="shared" si="10"/>
        <v/>
      </c>
      <c r="AK170" s="224"/>
      <c r="AL170" s="225"/>
      <c r="AM170" s="72" t="str">
        <f t="shared" si="11"/>
        <v/>
      </c>
      <c r="AN170" s="72"/>
    </row>
    <row r="171" spans="2:40">
      <c r="B171" s="62" t="str">
        <f t="shared" si="9"/>
        <v/>
      </c>
      <c r="C171" s="66"/>
      <c r="D171" s="67"/>
      <c r="E171" s="67"/>
      <c r="F171" s="67"/>
      <c r="G171" s="61"/>
      <c r="H171" s="69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72"/>
      <c r="AA171" s="67"/>
      <c r="AB171" s="67"/>
      <c r="AC171" s="67"/>
      <c r="AD171" s="68"/>
      <c r="AE171" s="72" t="str">
        <f t="shared" si="12"/>
        <v/>
      </c>
      <c r="AF171" s="224"/>
      <c r="AG171" s="224"/>
      <c r="AH171" s="224"/>
      <c r="AI171" s="225"/>
      <c r="AJ171" s="72" t="str">
        <f t="shared" si="10"/>
        <v/>
      </c>
      <c r="AK171" s="224"/>
      <c r="AL171" s="225"/>
      <c r="AM171" s="72" t="str">
        <f t="shared" si="11"/>
        <v/>
      </c>
      <c r="AN171" s="72"/>
    </row>
    <row r="172" spans="2:40">
      <c r="B172" s="62" t="str">
        <f t="shared" si="9"/>
        <v/>
      </c>
      <c r="C172" s="66"/>
      <c r="D172" s="67"/>
      <c r="E172" s="67"/>
      <c r="F172" s="67"/>
      <c r="G172" s="61"/>
      <c r="H172" s="69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72"/>
      <c r="AA172" s="67"/>
      <c r="AB172" s="67"/>
      <c r="AC172" s="67"/>
      <c r="AD172" s="68"/>
      <c r="AE172" s="72" t="str">
        <f t="shared" si="12"/>
        <v/>
      </c>
      <c r="AF172" s="224"/>
      <c r="AG172" s="224"/>
      <c r="AH172" s="224"/>
      <c r="AI172" s="225"/>
      <c r="AJ172" s="72" t="str">
        <f t="shared" si="10"/>
        <v/>
      </c>
      <c r="AK172" s="224"/>
      <c r="AL172" s="225"/>
      <c r="AM172" s="72" t="str">
        <f t="shared" si="11"/>
        <v/>
      </c>
      <c r="AN172" s="72"/>
    </row>
    <row r="173" spans="2:40">
      <c r="B173" s="62" t="str">
        <f t="shared" si="9"/>
        <v/>
      </c>
      <c r="C173" s="66"/>
      <c r="D173" s="67"/>
      <c r="E173" s="67"/>
      <c r="F173" s="67"/>
      <c r="G173" s="61"/>
      <c r="H173" s="69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72"/>
      <c r="AA173" s="67"/>
      <c r="AB173" s="67"/>
      <c r="AC173" s="67"/>
      <c r="AD173" s="68"/>
      <c r="AE173" s="72" t="str">
        <f t="shared" si="12"/>
        <v/>
      </c>
      <c r="AF173" s="224"/>
      <c r="AG173" s="224"/>
      <c r="AH173" s="224"/>
      <c r="AI173" s="225"/>
      <c r="AJ173" s="72" t="str">
        <f t="shared" si="10"/>
        <v/>
      </c>
      <c r="AK173" s="224"/>
      <c r="AL173" s="225"/>
      <c r="AM173" s="72" t="str">
        <f t="shared" si="11"/>
        <v/>
      </c>
      <c r="AN173" s="72"/>
    </row>
    <row r="174" spans="2:40">
      <c r="B174" s="62" t="str">
        <f t="shared" si="9"/>
        <v/>
      </c>
      <c r="C174" s="66"/>
      <c r="D174" s="67"/>
      <c r="E174" s="67"/>
      <c r="F174" s="67"/>
      <c r="G174" s="61"/>
      <c r="H174" s="69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72"/>
      <c r="AA174" s="67"/>
      <c r="AB174" s="67"/>
      <c r="AC174" s="67"/>
      <c r="AD174" s="68"/>
      <c r="AE174" s="72" t="str">
        <f t="shared" si="12"/>
        <v/>
      </c>
      <c r="AF174" s="224"/>
      <c r="AG174" s="224"/>
      <c r="AH174" s="224"/>
      <c r="AI174" s="225"/>
      <c r="AJ174" s="72" t="str">
        <f t="shared" si="10"/>
        <v/>
      </c>
      <c r="AK174" s="224"/>
      <c r="AL174" s="225"/>
      <c r="AM174" s="72" t="str">
        <f t="shared" si="11"/>
        <v/>
      </c>
      <c r="AN174" s="72"/>
    </row>
    <row r="175" spans="2:40">
      <c r="B175" s="62" t="str">
        <f t="shared" si="9"/>
        <v/>
      </c>
      <c r="C175" s="66"/>
      <c r="D175" s="67"/>
      <c r="E175" s="67"/>
      <c r="F175" s="67"/>
      <c r="G175" s="61"/>
      <c r="H175" s="69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72"/>
      <c r="AA175" s="67"/>
      <c r="AB175" s="67"/>
      <c r="AC175" s="67"/>
      <c r="AD175" s="68"/>
      <c r="AE175" s="72" t="str">
        <f t="shared" si="12"/>
        <v/>
      </c>
      <c r="AF175" s="224"/>
      <c r="AG175" s="224"/>
      <c r="AH175" s="224"/>
      <c r="AI175" s="225"/>
      <c r="AJ175" s="72" t="str">
        <f t="shared" si="10"/>
        <v/>
      </c>
      <c r="AK175" s="224"/>
      <c r="AL175" s="225"/>
      <c r="AM175" s="72" t="str">
        <f t="shared" si="11"/>
        <v/>
      </c>
      <c r="AN175" s="72"/>
    </row>
    <row r="176" spans="2:40">
      <c r="B176" s="62" t="str">
        <f t="shared" si="9"/>
        <v/>
      </c>
      <c r="C176" s="66"/>
      <c r="D176" s="67"/>
      <c r="E176" s="67"/>
      <c r="F176" s="67"/>
      <c r="G176" s="61"/>
      <c r="H176" s="69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72"/>
      <c r="AA176" s="67"/>
      <c r="AB176" s="67"/>
      <c r="AC176" s="67"/>
      <c r="AD176" s="68"/>
      <c r="AE176" s="72" t="str">
        <f t="shared" si="12"/>
        <v/>
      </c>
      <c r="AF176" s="224"/>
      <c r="AG176" s="224"/>
      <c r="AH176" s="224"/>
      <c r="AI176" s="225"/>
      <c r="AJ176" s="72" t="str">
        <f t="shared" si="10"/>
        <v/>
      </c>
      <c r="AK176" s="224"/>
      <c r="AL176" s="225"/>
      <c r="AM176" s="72" t="str">
        <f t="shared" si="11"/>
        <v/>
      </c>
      <c r="AN176" s="72"/>
    </row>
    <row r="177" spans="2:40">
      <c r="B177" s="62" t="str">
        <f t="shared" si="9"/>
        <v/>
      </c>
      <c r="C177" s="66"/>
      <c r="D177" s="67"/>
      <c r="E177" s="67"/>
      <c r="F177" s="67"/>
      <c r="G177" s="61"/>
      <c r="H177" s="69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72"/>
      <c r="AA177" s="67"/>
      <c r="AB177" s="67"/>
      <c r="AC177" s="67"/>
      <c r="AD177" s="68"/>
      <c r="AE177" s="72" t="str">
        <f t="shared" si="12"/>
        <v/>
      </c>
      <c r="AF177" s="224"/>
      <c r="AG177" s="224"/>
      <c r="AH177" s="224"/>
      <c r="AI177" s="225"/>
      <c r="AJ177" s="72" t="str">
        <f t="shared" si="10"/>
        <v/>
      </c>
      <c r="AK177" s="224"/>
      <c r="AL177" s="225"/>
      <c r="AM177" s="72" t="str">
        <f t="shared" si="11"/>
        <v/>
      </c>
      <c r="AN177" s="72"/>
    </row>
    <row r="178" spans="2:40">
      <c r="B178" s="62" t="str">
        <f t="shared" si="9"/>
        <v/>
      </c>
      <c r="C178" s="66"/>
      <c r="D178" s="67"/>
      <c r="E178" s="67"/>
      <c r="F178" s="67"/>
      <c r="G178" s="61"/>
      <c r="H178" s="69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72"/>
      <c r="AA178" s="67"/>
      <c r="AB178" s="67"/>
      <c r="AC178" s="67"/>
      <c r="AD178" s="68"/>
      <c r="AE178" s="72" t="str">
        <f t="shared" si="12"/>
        <v/>
      </c>
      <c r="AF178" s="224"/>
      <c r="AG178" s="224"/>
      <c r="AH178" s="224"/>
      <c r="AI178" s="225"/>
      <c r="AJ178" s="72" t="str">
        <f t="shared" si="10"/>
        <v/>
      </c>
      <c r="AK178" s="224"/>
      <c r="AL178" s="225"/>
      <c r="AM178" s="72" t="str">
        <f t="shared" si="11"/>
        <v/>
      </c>
      <c r="AN178" s="72"/>
    </row>
    <row r="179" spans="2:40">
      <c r="B179" s="62" t="str">
        <f t="shared" si="9"/>
        <v/>
      </c>
      <c r="C179" s="66"/>
      <c r="D179" s="67"/>
      <c r="E179" s="67"/>
      <c r="F179" s="67"/>
      <c r="G179" s="61"/>
      <c r="H179" s="69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72"/>
      <c r="AA179" s="67"/>
      <c r="AB179" s="67"/>
      <c r="AC179" s="67"/>
      <c r="AD179" s="68"/>
      <c r="AE179" s="72" t="str">
        <f t="shared" si="12"/>
        <v/>
      </c>
      <c r="AF179" s="224"/>
      <c r="AG179" s="224"/>
      <c r="AH179" s="224"/>
      <c r="AI179" s="225"/>
      <c r="AJ179" s="72" t="str">
        <f t="shared" si="10"/>
        <v/>
      </c>
      <c r="AK179" s="224"/>
      <c r="AL179" s="225"/>
      <c r="AM179" s="72" t="str">
        <f t="shared" si="11"/>
        <v/>
      </c>
      <c r="AN179" s="72"/>
    </row>
    <row r="180" spans="2:40">
      <c r="B180" s="62" t="str">
        <f t="shared" si="9"/>
        <v/>
      </c>
      <c r="C180" s="66"/>
      <c r="D180" s="67"/>
      <c r="E180" s="67"/>
      <c r="F180" s="67"/>
      <c r="G180" s="61"/>
      <c r="H180" s="69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72"/>
      <c r="AA180" s="67"/>
      <c r="AB180" s="67"/>
      <c r="AC180" s="67"/>
      <c r="AD180" s="68"/>
      <c r="AE180" s="72" t="str">
        <f t="shared" si="12"/>
        <v/>
      </c>
      <c r="AF180" s="224"/>
      <c r="AG180" s="224"/>
      <c r="AH180" s="224"/>
      <c r="AI180" s="225"/>
      <c r="AJ180" s="72" t="str">
        <f t="shared" si="10"/>
        <v/>
      </c>
      <c r="AK180" s="224"/>
      <c r="AL180" s="225"/>
      <c r="AM180" s="72" t="str">
        <f t="shared" si="11"/>
        <v/>
      </c>
      <c r="AN180" s="72"/>
    </row>
    <row r="181" spans="2:40">
      <c r="B181" s="62" t="str">
        <f t="shared" si="9"/>
        <v/>
      </c>
      <c r="C181" s="66"/>
      <c r="D181" s="67"/>
      <c r="E181" s="67"/>
      <c r="F181" s="67"/>
      <c r="G181" s="61"/>
      <c r="H181" s="69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72"/>
      <c r="AA181" s="67"/>
      <c r="AB181" s="67"/>
      <c r="AC181" s="67"/>
      <c r="AD181" s="68"/>
      <c r="AE181" s="72" t="str">
        <f t="shared" si="12"/>
        <v/>
      </c>
      <c r="AF181" s="224"/>
      <c r="AG181" s="224"/>
      <c r="AH181" s="224"/>
      <c r="AI181" s="225"/>
      <c r="AJ181" s="72" t="str">
        <f t="shared" si="10"/>
        <v/>
      </c>
      <c r="AK181" s="224"/>
      <c r="AL181" s="225"/>
      <c r="AM181" s="72" t="str">
        <f t="shared" si="11"/>
        <v/>
      </c>
      <c r="AN181" s="72"/>
    </row>
    <row r="182" spans="2:40">
      <c r="B182" s="62" t="str">
        <f t="shared" si="9"/>
        <v/>
      </c>
      <c r="C182" s="66"/>
      <c r="D182" s="67"/>
      <c r="E182" s="67"/>
      <c r="F182" s="67"/>
      <c r="G182" s="61"/>
      <c r="H182" s="69"/>
      <c r="I182" s="67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72"/>
      <c r="AA182" s="67"/>
      <c r="AB182" s="67"/>
      <c r="AC182" s="67"/>
      <c r="AD182" s="68"/>
      <c r="AE182" s="72" t="str">
        <f t="shared" si="12"/>
        <v/>
      </c>
      <c r="AF182" s="224"/>
      <c r="AG182" s="224"/>
      <c r="AH182" s="224"/>
      <c r="AI182" s="225"/>
      <c r="AJ182" s="72" t="str">
        <f t="shared" si="10"/>
        <v/>
      </c>
      <c r="AK182" s="224"/>
      <c r="AL182" s="225"/>
      <c r="AM182" s="72" t="str">
        <f t="shared" si="11"/>
        <v/>
      </c>
      <c r="AN182" s="72"/>
    </row>
    <row r="183" spans="2:40">
      <c r="B183" s="62" t="str">
        <f t="shared" si="9"/>
        <v/>
      </c>
      <c r="C183" s="66"/>
      <c r="D183" s="67"/>
      <c r="E183" s="67"/>
      <c r="F183" s="67"/>
      <c r="G183" s="61"/>
      <c r="H183" s="69"/>
      <c r="I183" s="67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72"/>
      <c r="AA183" s="67"/>
      <c r="AB183" s="67"/>
      <c r="AC183" s="67"/>
      <c r="AD183" s="68"/>
      <c r="AE183" s="72" t="str">
        <f t="shared" si="12"/>
        <v/>
      </c>
      <c r="AF183" s="224"/>
      <c r="AG183" s="224"/>
      <c r="AH183" s="224"/>
      <c r="AI183" s="225"/>
      <c r="AJ183" s="72" t="str">
        <f t="shared" si="10"/>
        <v/>
      </c>
      <c r="AK183" s="224"/>
      <c r="AL183" s="225"/>
      <c r="AM183" s="72" t="str">
        <f t="shared" si="11"/>
        <v/>
      </c>
      <c r="AN183" s="72"/>
    </row>
    <row r="184" spans="2:40">
      <c r="B184" s="62" t="str">
        <f t="shared" si="9"/>
        <v/>
      </c>
      <c r="C184" s="66"/>
      <c r="D184" s="67"/>
      <c r="E184" s="67"/>
      <c r="F184" s="67"/>
      <c r="G184" s="61"/>
      <c r="H184" s="69"/>
      <c r="I184" s="67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72"/>
      <c r="AA184" s="67"/>
      <c r="AB184" s="67"/>
      <c r="AC184" s="67"/>
      <c r="AD184" s="68"/>
      <c r="AE184" s="72" t="str">
        <f t="shared" si="12"/>
        <v/>
      </c>
      <c r="AF184" s="224"/>
      <c r="AG184" s="224"/>
      <c r="AH184" s="224"/>
      <c r="AI184" s="225"/>
      <c r="AJ184" s="72" t="str">
        <f t="shared" si="10"/>
        <v/>
      </c>
      <c r="AK184" s="224"/>
      <c r="AL184" s="225"/>
      <c r="AM184" s="72" t="str">
        <f t="shared" si="11"/>
        <v/>
      </c>
      <c r="AN184" s="72"/>
    </row>
    <row r="185" spans="2:40">
      <c r="B185" s="62" t="str">
        <f t="shared" si="9"/>
        <v/>
      </c>
      <c r="C185" s="66"/>
      <c r="D185" s="67"/>
      <c r="E185" s="67"/>
      <c r="F185" s="67"/>
      <c r="G185" s="61"/>
      <c r="H185" s="69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72"/>
      <c r="AA185" s="67"/>
      <c r="AB185" s="67"/>
      <c r="AC185" s="67"/>
      <c r="AD185" s="68"/>
      <c r="AE185" s="72" t="str">
        <f t="shared" si="12"/>
        <v/>
      </c>
      <c r="AF185" s="224"/>
      <c r="AG185" s="224"/>
      <c r="AH185" s="224"/>
      <c r="AI185" s="225"/>
      <c r="AJ185" s="72" t="str">
        <f t="shared" si="10"/>
        <v/>
      </c>
      <c r="AK185" s="224"/>
      <c r="AL185" s="225"/>
      <c r="AM185" s="72" t="str">
        <f t="shared" si="11"/>
        <v/>
      </c>
      <c r="AN185" s="72"/>
    </row>
    <row r="186" spans="2:40">
      <c r="B186" s="62" t="str">
        <f t="shared" si="9"/>
        <v/>
      </c>
      <c r="C186" s="66"/>
      <c r="D186" s="67"/>
      <c r="E186" s="67"/>
      <c r="F186" s="67"/>
      <c r="G186" s="61"/>
      <c r="H186" s="69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72"/>
      <c r="AA186" s="67"/>
      <c r="AB186" s="67"/>
      <c r="AC186" s="67"/>
      <c r="AD186" s="68"/>
      <c r="AE186" s="72" t="str">
        <f t="shared" si="12"/>
        <v/>
      </c>
      <c r="AF186" s="224"/>
      <c r="AG186" s="224"/>
      <c r="AH186" s="224"/>
      <c r="AI186" s="225"/>
      <c r="AJ186" s="72" t="str">
        <f t="shared" si="10"/>
        <v/>
      </c>
      <c r="AK186" s="224"/>
      <c r="AL186" s="225"/>
      <c r="AM186" s="72" t="str">
        <f t="shared" si="11"/>
        <v/>
      </c>
      <c r="AN186" s="72"/>
    </row>
    <row r="187" spans="2:40">
      <c r="B187" s="62" t="str">
        <f t="shared" si="9"/>
        <v/>
      </c>
      <c r="C187" s="66"/>
      <c r="D187" s="67"/>
      <c r="E187" s="67"/>
      <c r="F187" s="67"/>
      <c r="G187" s="61"/>
      <c r="H187" s="69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72"/>
      <c r="AA187" s="67"/>
      <c r="AB187" s="67"/>
      <c r="AC187" s="67"/>
      <c r="AD187" s="68"/>
      <c r="AE187" s="72" t="str">
        <f t="shared" si="12"/>
        <v/>
      </c>
      <c r="AF187" s="224"/>
      <c r="AG187" s="224"/>
      <c r="AH187" s="224"/>
      <c r="AI187" s="225"/>
      <c r="AJ187" s="72" t="str">
        <f t="shared" si="10"/>
        <v/>
      </c>
      <c r="AK187" s="224"/>
      <c r="AL187" s="225"/>
      <c r="AM187" s="72" t="str">
        <f t="shared" si="11"/>
        <v/>
      </c>
      <c r="AN187" s="72"/>
    </row>
    <row r="188" spans="2:40">
      <c r="B188" s="62" t="str">
        <f t="shared" si="9"/>
        <v/>
      </c>
      <c r="C188" s="66"/>
      <c r="D188" s="67"/>
      <c r="E188" s="67"/>
      <c r="F188" s="67"/>
      <c r="G188" s="61"/>
      <c r="H188" s="69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72"/>
      <c r="AA188" s="67"/>
      <c r="AB188" s="67"/>
      <c r="AC188" s="67"/>
      <c r="AD188" s="68"/>
      <c r="AE188" s="72" t="str">
        <f t="shared" si="12"/>
        <v/>
      </c>
      <c r="AF188" s="224"/>
      <c r="AG188" s="224"/>
      <c r="AH188" s="224"/>
      <c r="AI188" s="225"/>
      <c r="AJ188" s="72" t="str">
        <f t="shared" si="10"/>
        <v/>
      </c>
      <c r="AK188" s="224"/>
      <c r="AL188" s="225"/>
      <c r="AM188" s="72" t="str">
        <f t="shared" si="11"/>
        <v/>
      </c>
      <c r="AN188" s="72"/>
    </row>
    <row r="189" spans="2:40">
      <c r="B189" s="62" t="str">
        <f t="shared" si="9"/>
        <v/>
      </c>
      <c r="C189" s="66"/>
      <c r="D189" s="67"/>
      <c r="E189" s="67"/>
      <c r="F189" s="67"/>
      <c r="G189" s="61"/>
      <c r="H189" s="69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72"/>
      <c r="AA189" s="67"/>
      <c r="AB189" s="67"/>
      <c r="AC189" s="67"/>
      <c r="AD189" s="68"/>
      <c r="AE189" s="72" t="str">
        <f t="shared" si="12"/>
        <v/>
      </c>
      <c r="AF189" s="224"/>
      <c r="AG189" s="224"/>
      <c r="AH189" s="224"/>
      <c r="AI189" s="225"/>
      <c r="AJ189" s="72" t="str">
        <f t="shared" si="10"/>
        <v/>
      </c>
      <c r="AK189" s="224"/>
      <c r="AL189" s="225"/>
      <c r="AM189" s="72" t="str">
        <f t="shared" si="11"/>
        <v/>
      </c>
      <c r="AN189" s="72"/>
    </row>
    <row r="190" spans="2:40">
      <c r="B190" s="62" t="str">
        <f t="shared" si="9"/>
        <v/>
      </c>
      <c r="C190" s="66"/>
      <c r="D190" s="67"/>
      <c r="E190" s="67"/>
      <c r="F190" s="67"/>
      <c r="G190" s="61"/>
      <c r="H190" s="69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72"/>
      <c r="AA190" s="67"/>
      <c r="AB190" s="67"/>
      <c r="AC190" s="67"/>
      <c r="AD190" s="68"/>
      <c r="AE190" s="72" t="str">
        <f t="shared" si="12"/>
        <v/>
      </c>
      <c r="AF190" s="224"/>
      <c r="AG190" s="224"/>
      <c r="AH190" s="224"/>
      <c r="AI190" s="225"/>
      <c r="AJ190" s="72" t="str">
        <f t="shared" si="10"/>
        <v/>
      </c>
      <c r="AK190" s="224"/>
      <c r="AL190" s="225"/>
      <c r="AM190" s="72" t="str">
        <f t="shared" si="11"/>
        <v/>
      </c>
      <c r="AN190" s="72"/>
    </row>
    <row r="191" spans="2:40">
      <c r="B191" s="62" t="str">
        <f t="shared" si="9"/>
        <v/>
      </c>
      <c r="C191" s="66"/>
      <c r="D191" s="67"/>
      <c r="E191" s="67"/>
      <c r="F191" s="67"/>
      <c r="G191" s="61"/>
      <c r="H191" s="69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72"/>
      <c r="AA191" s="67"/>
      <c r="AB191" s="67"/>
      <c r="AC191" s="67"/>
      <c r="AD191" s="68"/>
      <c r="AE191" s="72" t="str">
        <f t="shared" si="12"/>
        <v/>
      </c>
      <c r="AF191" s="224"/>
      <c r="AG191" s="224"/>
      <c r="AH191" s="224"/>
      <c r="AI191" s="225"/>
      <c r="AJ191" s="72" t="str">
        <f t="shared" si="10"/>
        <v/>
      </c>
      <c r="AK191" s="224"/>
      <c r="AL191" s="225"/>
      <c r="AM191" s="72" t="str">
        <f t="shared" si="11"/>
        <v/>
      </c>
      <c r="AN191" s="72"/>
    </row>
    <row r="192" spans="2:40">
      <c r="B192" s="62" t="str">
        <f t="shared" si="9"/>
        <v/>
      </c>
      <c r="C192" s="66"/>
      <c r="D192" s="67"/>
      <c r="E192" s="67"/>
      <c r="F192" s="67"/>
      <c r="G192" s="61"/>
      <c r="H192" s="69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72"/>
      <c r="AA192" s="67"/>
      <c r="AB192" s="67"/>
      <c r="AC192" s="67"/>
      <c r="AD192" s="68"/>
      <c r="AE192" s="72" t="str">
        <f t="shared" si="12"/>
        <v/>
      </c>
      <c r="AF192" s="224"/>
      <c r="AG192" s="224"/>
      <c r="AH192" s="224"/>
      <c r="AI192" s="225"/>
      <c r="AJ192" s="72" t="str">
        <f t="shared" si="10"/>
        <v/>
      </c>
      <c r="AK192" s="224"/>
      <c r="AL192" s="225"/>
      <c r="AM192" s="72" t="str">
        <f t="shared" si="11"/>
        <v/>
      </c>
      <c r="AN192" s="72"/>
    </row>
    <row r="193" spans="2:40">
      <c r="B193" s="62" t="str">
        <f t="shared" si="9"/>
        <v/>
      </c>
      <c r="C193" s="66"/>
      <c r="D193" s="67"/>
      <c r="E193" s="67"/>
      <c r="F193" s="67"/>
      <c r="G193" s="61"/>
      <c r="H193" s="69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72"/>
      <c r="AA193" s="67"/>
      <c r="AB193" s="67"/>
      <c r="AC193" s="67"/>
      <c r="AD193" s="68"/>
      <c r="AE193" s="72" t="str">
        <f t="shared" si="12"/>
        <v/>
      </c>
      <c r="AF193" s="224"/>
      <c r="AG193" s="224"/>
      <c r="AH193" s="224"/>
      <c r="AI193" s="225"/>
      <c r="AJ193" s="72" t="str">
        <f t="shared" si="10"/>
        <v/>
      </c>
      <c r="AK193" s="224"/>
      <c r="AL193" s="225"/>
      <c r="AM193" s="72" t="str">
        <f t="shared" si="11"/>
        <v/>
      </c>
      <c r="AN193" s="72"/>
    </row>
    <row r="194" spans="2:40">
      <c r="B194" s="62" t="str">
        <f t="shared" si="9"/>
        <v/>
      </c>
      <c r="C194" s="66"/>
      <c r="D194" s="67"/>
      <c r="E194" s="67"/>
      <c r="F194" s="67"/>
      <c r="G194" s="61"/>
      <c r="H194" s="69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72"/>
      <c r="AA194" s="67"/>
      <c r="AB194" s="67"/>
      <c r="AC194" s="67"/>
      <c r="AD194" s="68"/>
      <c r="AE194" s="72" t="str">
        <f t="shared" si="12"/>
        <v/>
      </c>
      <c r="AF194" s="224"/>
      <c r="AG194" s="224"/>
      <c r="AH194" s="224"/>
      <c r="AI194" s="225"/>
      <c r="AJ194" s="72" t="str">
        <f t="shared" si="10"/>
        <v/>
      </c>
      <c r="AK194" s="224"/>
      <c r="AL194" s="225"/>
      <c r="AM194" s="72" t="str">
        <f t="shared" si="11"/>
        <v/>
      </c>
      <c r="AN194" s="72"/>
    </row>
    <row r="195" spans="2:40">
      <c r="B195" s="62" t="str">
        <f t="shared" si="9"/>
        <v/>
      </c>
      <c r="C195" s="66"/>
      <c r="D195" s="67"/>
      <c r="E195" s="67"/>
      <c r="F195" s="67"/>
      <c r="G195" s="61"/>
      <c r="H195" s="69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72"/>
      <c r="AA195" s="67"/>
      <c r="AB195" s="67"/>
      <c r="AC195" s="67"/>
      <c r="AD195" s="68"/>
      <c r="AE195" s="72" t="str">
        <f t="shared" si="12"/>
        <v/>
      </c>
      <c r="AF195" s="224"/>
      <c r="AG195" s="224"/>
      <c r="AH195" s="224"/>
      <c r="AI195" s="225"/>
      <c r="AJ195" s="72" t="str">
        <f t="shared" si="10"/>
        <v/>
      </c>
      <c r="AK195" s="224"/>
      <c r="AL195" s="225"/>
      <c r="AM195" s="72" t="str">
        <f t="shared" si="11"/>
        <v/>
      </c>
      <c r="AN195" s="72"/>
    </row>
    <row r="196" spans="2:40">
      <c r="B196" s="62" t="str">
        <f t="shared" si="9"/>
        <v/>
      </c>
      <c r="C196" s="66"/>
      <c r="D196" s="67"/>
      <c r="E196" s="67"/>
      <c r="F196" s="67"/>
      <c r="G196" s="61"/>
      <c r="H196" s="69"/>
      <c r="I196" s="67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72"/>
      <c r="AA196" s="67"/>
      <c r="AB196" s="67"/>
      <c r="AC196" s="67"/>
      <c r="AD196" s="68"/>
      <c r="AE196" s="72" t="str">
        <f t="shared" si="12"/>
        <v/>
      </c>
      <c r="AF196" s="224"/>
      <c r="AG196" s="224"/>
      <c r="AH196" s="224"/>
      <c r="AI196" s="225"/>
      <c r="AJ196" s="72" t="str">
        <f t="shared" si="10"/>
        <v/>
      </c>
      <c r="AK196" s="224"/>
      <c r="AL196" s="225"/>
      <c r="AM196" s="72" t="str">
        <f t="shared" si="11"/>
        <v/>
      </c>
      <c r="AN196" s="72"/>
    </row>
    <row r="197" spans="2:40">
      <c r="B197" s="62" t="str">
        <f t="shared" si="9"/>
        <v/>
      </c>
      <c r="C197" s="66"/>
      <c r="D197" s="67"/>
      <c r="E197" s="67"/>
      <c r="F197" s="67"/>
      <c r="G197" s="61"/>
      <c r="H197" s="69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72"/>
      <c r="AA197" s="67"/>
      <c r="AB197" s="67"/>
      <c r="AC197" s="67"/>
      <c r="AD197" s="68"/>
      <c r="AE197" s="72" t="str">
        <f t="shared" si="12"/>
        <v/>
      </c>
      <c r="AF197" s="224"/>
      <c r="AG197" s="224"/>
      <c r="AH197" s="224"/>
      <c r="AI197" s="225"/>
      <c r="AJ197" s="72" t="str">
        <f t="shared" si="10"/>
        <v/>
      </c>
      <c r="AK197" s="224"/>
      <c r="AL197" s="225"/>
      <c r="AM197" s="72" t="str">
        <f t="shared" si="11"/>
        <v/>
      </c>
      <c r="AN197" s="72"/>
    </row>
    <row r="198" spans="2:40">
      <c r="B198" s="62" t="str">
        <f t="shared" ref="B198:B261" si="13">LEFT(C198,3)</f>
        <v/>
      </c>
      <c r="C198" s="66"/>
      <c r="D198" s="67"/>
      <c r="E198" s="67"/>
      <c r="F198" s="67"/>
      <c r="G198" s="61"/>
      <c r="H198" s="69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72"/>
      <c r="AA198" s="67"/>
      <c r="AB198" s="67"/>
      <c r="AC198" s="67"/>
      <c r="AD198" s="68"/>
      <c r="AE198" s="72" t="str">
        <f t="shared" si="12"/>
        <v/>
      </c>
      <c r="AF198" s="224"/>
      <c r="AG198" s="224"/>
      <c r="AH198" s="224"/>
      <c r="AI198" s="225"/>
      <c r="AJ198" s="72" t="str">
        <f t="shared" ref="AJ198:AJ261" si="14">AE198</f>
        <v/>
      </c>
      <c r="AK198" s="224"/>
      <c r="AL198" s="225"/>
      <c r="AM198" s="72" t="str">
        <f t="shared" ref="AM198:AM261" si="15">AE198</f>
        <v/>
      </c>
      <c r="AN198" s="72"/>
    </row>
    <row r="199" spans="2:40">
      <c r="B199" s="62" t="str">
        <f t="shared" si="13"/>
        <v/>
      </c>
      <c r="C199" s="66"/>
      <c r="D199" s="67"/>
      <c r="E199" s="67"/>
      <c r="F199" s="67"/>
      <c r="G199" s="61"/>
      <c r="H199" s="69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72"/>
      <c r="AA199" s="67"/>
      <c r="AB199" s="67"/>
      <c r="AC199" s="67"/>
      <c r="AD199" s="68"/>
      <c r="AE199" s="72" t="str">
        <f t="shared" ref="AE199:AE262" si="16">IF(C199="","",C199)</f>
        <v/>
      </c>
      <c r="AF199" s="224"/>
      <c r="AG199" s="224"/>
      <c r="AH199" s="224"/>
      <c r="AI199" s="225"/>
      <c r="AJ199" s="72" t="str">
        <f t="shared" si="14"/>
        <v/>
      </c>
      <c r="AK199" s="224"/>
      <c r="AL199" s="225"/>
      <c r="AM199" s="72" t="str">
        <f t="shared" si="15"/>
        <v/>
      </c>
      <c r="AN199" s="72"/>
    </row>
    <row r="200" spans="2:40">
      <c r="B200" s="62" t="str">
        <f t="shared" si="13"/>
        <v/>
      </c>
      <c r="C200" s="66"/>
      <c r="D200" s="67"/>
      <c r="E200" s="67"/>
      <c r="F200" s="67"/>
      <c r="G200" s="61"/>
      <c r="H200" s="69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72"/>
      <c r="AA200" s="67"/>
      <c r="AB200" s="67"/>
      <c r="AC200" s="67"/>
      <c r="AD200" s="68"/>
      <c r="AE200" s="72" t="str">
        <f t="shared" si="16"/>
        <v/>
      </c>
      <c r="AF200" s="224"/>
      <c r="AG200" s="224"/>
      <c r="AH200" s="224"/>
      <c r="AI200" s="225"/>
      <c r="AJ200" s="72" t="str">
        <f t="shared" si="14"/>
        <v/>
      </c>
      <c r="AK200" s="224"/>
      <c r="AL200" s="225"/>
      <c r="AM200" s="72" t="str">
        <f t="shared" si="15"/>
        <v/>
      </c>
      <c r="AN200" s="72"/>
    </row>
    <row r="201" spans="2:40">
      <c r="B201" s="62" t="str">
        <f t="shared" si="13"/>
        <v/>
      </c>
      <c r="C201" s="66"/>
      <c r="D201" s="67"/>
      <c r="E201" s="67"/>
      <c r="F201" s="67"/>
      <c r="G201" s="61"/>
      <c r="H201" s="69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72"/>
      <c r="AA201" s="67"/>
      <c r="AB201" s="67"/>
      <c r="AC201" s="67"/>
      <c r="AD201" s="68"/>
      <c r="AE201" s="72" t="str">
        <f t="shared" si="16"/>
        <v/>
      </c>
      <c r="AF201" s="224"/>
      <c r="AG201" s="224"/>
      <c r="AH201" s="224"/>
      <c r="AI201" s="225"/>
      <c r="AJ201" s="72" t="str">
        <f t="shared" si="14"/>
        <v/>
      </c>
      <c r="AK201" s="224"/>
      <c r="AL201" s="225"/>
      <c r="AM201" s="72" t="str">
        <f t="shared" si="15"/>
        <v/>
      </c>
      <c r="AN201" s="72"/>
    </row>
    <row r="202" spans="2:40">
      <c r="B202" s="62" t="str">
        <f t="shared" si="13"/>
        <v/>
      </c>
      <c r="C202" s="66"/>
      <c r="D202" s="67"/>
      <c r="E202" s="67"/>
      <c r="F202" s="67"/>
      <c r="G202" s="61"/>
      <c r="H202" s="69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72"/>
      <c r="AA202" s="67"/>
      <c r="AB202" s="67"/>
      <c r="AC202" s="67"/>
      <c r="AD202" s="68"/>
      <c r="AE202" s="72" t="str">
        <f t="shared" si="16"/>
        <v/>
      </c>
      <c r="AF202" s="224"/>
      <c r="AG202" s="224"/>
      <c r="AH202" s="224"/>
      <c r="AI202" s="225"/>
      <c r="AJ202" s="72" t="str">
        <f t="shared" si="14"/>
        <v/>
      </c>
      <c r="AK202" s="224"/>
      <c r="AL202" s="225"/>
      <c r="AM202" s="72" t="str">
        <f t="shared" si="15"/>
        <v/>
      </c>
      <c r="AN202" s="72"/>
    </row>
    <row r="203" spans="2:40">
      <c r="B203" s="62" t="str">
        <f t="shared" si="13"/>
        <v/>
      </c>
      <c r="C203" s="66"/>
      <c r="D203" s="67"/>
      <c r="E203" s="67"/>
      <c r="F203" s="67"/>
      <c r="G203" s="61"/>
      <c r="H203" s="69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72"/>
      <c r="AA203" s="67"/>
      <c r="AB203" s="67"/>
      <c r="AC203" s="67"/>
      <c r="AD203" s="68"/>
      <c r="AE203" s="72" t="str">
        <f t="shared" si="16"/>
        <v/>
      </c>
      <c r="AF203" s="224"/>
      <c r="AG203" s="224"/>
      <c r="AH203" s="224"/>
      <c r="AI203" s="225"/>
      <c r="AJ203" s="72" t="str">
        <f t="shared" si="14"/>
        <v/>
      </c>
      <c r="AK203" s="224"/>
      <c r="AL203" s="225"/>
      <c r="AM203" s="72" t="str">
        <f t="shared" si="15"/>
        <v/>
      </c>
      <c r="AN203" s="72"/>
    </row>
    <row r="204" spans="2:40">
      <c r="B204" s="62" t="str">
        <f t="shared" si="13"/>
        <v/>
      </c>
      <c r="C204" s="66"/>
      <c r="D204" s="67"/>
      <c r="E204" s="67"/>
      <c r="F204" s="67"/>
      <c r="G204" s="61"/>
      <c r="H204" s="69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72"/>
      <c r="AA204" s="67"/>
      <c r="AB204" s="67"/>
      <c r="AC204" s="67"/>
      <c r="AD204" s="68"/>
      <c r="AE204" s="72" t="str">
        <f t="shared" si="16"/>
        <v/>
      </c>
      <c r="AF204" s="224"/>
      <c r="AG204" s="224"/>
      <c r="AH204" s="224"/>
      <c r="AI204" s="225"/>
      <c r="AJ204" s="72" t="str">
        <f t="shared" si="14"/>
        <v/>
      </c>
      <c r="AK204" s="224"/>
      <c r="AL204" s="225"/>
      <c r="AM204" s="72" t="str">
        <f t="shared" si="15"/>
        <v/>
      </c>
      <c r="AN204" s="72"/>
    </row>
    <row r="205" spans="2:40">
      <c r="B205" s="62" t="str">
        <f t="shared" si="13"/>
        <v/>
      </c>
      <c r="C205" s="66"/>
      <c r="D205" s="67"/>
      <c r="E205" s="67"/>
      <c r="F205" s="67"/>
      <c r="G205" s="61"/>
      <c r="H205" s="69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72"/>
      <c r="AA205" s="67"/>
      <c r="AB205" s="67"/>
      <c r="AC205" s="67"/>
      <c r="AD205" s="68"/>
      <c r="AE205" s="72" t="str">
        <f t="shared" si="16"/>
        <v/>
      </c>
      <c r="AF205" s="224"/>
      <c r="AG205" s="224"/>
      <c r="AH205" s="224"/>
      <c r="AI205" s="225"/>
      <c r="AJ205" s="72" t="str">
        <f t="shared" si="14"/>
        <v/>
      </c>
      <c r="AK205" s="224"/>
      <c r="AL205" s="225"/>
      <c r="AM205" s="72" t="str">
        <f t="shared" si="15"/>
        <v/>
      </c>
      <c r="AN205" s="72"/>
    </row>
    <row r="206" spans="2:40">
      <c r="B206" s="62" t="str">
        <f t="shared" si="13"/>
        <v/>
      </c>
      <c r="C206" s="66"/>
      <c r="D206" s="67"/>
      <c r="E206" s="67"/>
      <c r="F206" s="67"/>
      <c r="G206" s="61"/>
      <c r="H206" s="69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72"/>
      <c r="AA206" s="67"/>
      <c r="AB206" s="67"/>
      <c r="AC206" s="67"/>
      <c r="AD206" s="68"/>
      <c r="AE206" s="72" t="str">
        <f t="shared" si="16"/>
        <v/>
      </c>
      <c r="AF206" s="224"/>
      <c r="AG206" s="224"/>
      <c r="AH206" s="224"/>
      <c r="AI206" s="225"/>
      <c r="AJ206" s="72" t="str">
        <f t="shared" si="14"/>
        <v/>
      </c>
      <c r="AK206" s="224"/>
      <c r="AL206" s="225"/>
      <c r="AM206" s="72" t="str">
        <f t="shared" si="15"/>
        <v/>
      </c>
      <c r="AN206" s="72"/>
    </row>
    <row r="207" spans="2:40">
      <c r="B207" s="62" t="str">
        <f t="shared" si="13"/>
        <v/>
      </c>
      <c r="C207" s="66"/>
      <c r="D207" s="67"/>
      <c r="E207" s="67"/>
      <c r="F207" s="67"/>
      <c r="G207" s="61"/>
      <c r="H207" s="69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72"/>
      <c r="AA207" s="67"/>
      <c r="AB207" s="67"/>
      <c r="AC207" s="67"/>
      <c r="AD207" s="68"/>
      <c r="AE207" s="72" t="str">
        <f t="shared" si="16"/>
        <v/>
      </c>
      <c r="AF207" s="224"/>
      <c r="AG207" s="224"/>
      <c r="AH207" s="224"/>
      <c r="AI207" s="225"/>
      <c r="AJ207" s="72" t="str">
        <f t="shared" si="14"/>
        <v/>
      </c>
      <c r="AK207" s="224"/>
      <c r="AL207" s="225"/>
      <c r="AM207" s="72" t="str">
        <f t="shared" si="15"/>
        <v/>
      </c>
      <c r="AN207" s="72"/>
    </row>
    <row r="208" spans="2:40">
      <c r="B208" s="62" t="str">
        <f t="shared" si="13"/>
        <v/>
      </c>
      <c r="C208" s="66"/>
      <c r="D208" s="67"/>
      <c r="E208" s="67"/>
      <c r="F208" s="67"/>
      <c r="G208" s="61"/>
      <c r="H208" s="69"/>
      <c r="I208" s="67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72"/>
      <c r="AA208" s="67"/>
      <c r="AB208" s="67"/>
      <c r="AC208" s="67"/>
      <c r="AD208" s="68"/>
      <c r="AE208" s="72" t="str">
        <f t="shared" si="16"/>
        <v/>
      </c>
      <c r="AF208" s="224"/>
      <c r="AG208" s="224"/>
      <c r="AH208" s="224"/>
      <c r="AI208" s="225"/>
      <c r="AJ208" s="72" t="str">
        <f t="shared" si="14"/>
        <v/>
      </c>
      <c r="AK208" s="224"/>
      <c r="AL208" s="225"/>
      <c r="AM208" s="72" t="str">
        <f t="shared" si="15"/>
        <v/>
      </c>
      <c r="AN208" s="72"/>
    </row>
    <row r="209" spans="2:40">
      <c r="B209" s="62" t="str">
        <f t="shared" si="13"/>
        <v/>
      </c>
      <c r="C209" s="61"/>
      <c r="D209" s="67"/>
      <c r="E209" s="67"/>
      <c r="F209" s="67"/>
      <c r="G209" s="61"/>
      <c r="H209" s="70"/>
      <c r="I209" s="67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72"/>
      <c r="AA209" s="67"/>
      <c r="AB209" s="67"/>
      <c r="AC209" s="67"/>
      <c r="AD209" s="68"/>
      <c r="AE209" s="72" t="str">
        <f t="shared" si="16"/>
        <v/>
      </c>
      <c r="AF209" s="224"/>
      <c r="AG209" s="224"/>
      <c r="AH209" s="224"/>
      <c r="AI209" s="225"/>
      <c r="AJ209" s="72" t="str">
        <f t="shared" si="14"/>
        <v/>
      </c>
      <c r="AK209" s="224"/>
      <c r="AL209" s="225"/>
      <c r="AM209" s="72" t="str">
        <f t="shared" si="15"/>
        <v/>
      </c>
      <c r="AN209" s="72"/>
    </row>
    <row r="210" spans="2:40">
      <c r="B210" s="62" t="str">
        <f t="shared" si="13"/>
        <v/>
      </c>
      <c r="C210" s="61"/>
      <c r="D210" s="67"/>
      <c r="E210" s="67"/>
      <c r="F210" s="67"/>
      <c r="G210" s="61"/>
      <c r="H210" s="70"/>
      <c r="I210" s="67"/>
      <c r="J210" s="67"/>
      <c r="K210" s="67"/>
      <c r="L210" s="67"/>
      <c r="M210" s="67"/>
      <c r="N210" s="67"/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72"/>
      <c r="AA210" s="67"/>
      <c r="AB210" s="67"/>
      <c r="AC210" s="67"/>
      <c r="AD210" s="68"/>
      <c r="AE210" s="72" t="str">
        <f t="shared" si="16"/>
        <v/>
      </c>
      <c r="AF210" s="224"/>
      <c r="AG210" s="224"/>
      <c r="AH210" s="224"/>
      <c r="AI210" s="225"/>
      <c r="AJ210" s="72" t="str">
        <f t="shared" si="14"/>
        <v/>
      </c>
      <c r="AK210" s="224"/>
      <c r="AL210" s="225"/>
      <c r="AM210" s="72" t="str">
        <f t="shared" si="15"/>
        <v/>
      </c>
      <c r="AN210" s="72"/>
    </row>
    <row r="211" spans="2:40">
      <c r="B211" s="62" t="str">
        <f t="shared" si="13"/>
        <v/>
      </c>
      <c r="C211" s="61"/>
      <c r="D211" s="67"/>
      <c r="E211" s="67"/>
      <c r="F211" s="67"/>
      <c r="G211" s="61"/>
      <c r="H211" s="70"/>
      <c r="I211" s="67"/>
      <c r="J211" s="67"/>
      <c r="K211" s="67"/>
      <c r="L211" s="67"/>
      <c r="M211" s="67"/>
      <c r="N211" s="67"/>
      <c r="O211" s="67"/>
      <c r="P211" s="67"/>
      <c r="Q211" s="67"/>
      <c r="R211" s="67"/>
      <c r="S211" s="67"/>
      <c r="T211" s="67"/>
      <c r="U211" s="67"/>
      <c r="V211" s="67"/>
      <c r="W211" s="67"/>
      <c r="X211" s="67"/>
      <c r="Y211" s="67"/>
      <c r="Z211" s="72"/>
      <c r="AA211" s="67"/>
      <c r="AB211" s="67"/>
      <c r="AC211" s="67"/>
      <c r="AD211" s="68"/>
      <c r="AE211" s="72" t="str">
        <f t="shared" si="16"/>
        <v/>
      </c>
      <c r="AF211" s="224"/>
      <c r="AG211" s="224"/>
      <c r="AH211" s="224"/>
      <c r="AI211" s="225"/>
      <c r="AJ211" s="72" t="str">
        <f t="shared" si="14"/>
        <v/>
      </c>
      <c r="AK211" s="224"/>
      <c r="AL211" s="225"/>
      <c r="AM211" s="72" t="str">
        <f t="shared" si="15"/>
        <v/>
      </c>
      <c r="AN211" s="72"/>
    </row>
    <row r="212" spans="2:40">
      <c r="B212" s="62" t="str">
        <f t="shared" si="13"/>
        <v/>
      </c>
      <c r="C212" s="61"/>
      <c r="D212" s="67"/>
      <c r="E212" s="67"/>
      <c r="F212" s="67"/>
      <c r="G212" s="61"/>
      <c r="H212" s="70"/>
      <c r="I212" s="67"/>
      <c r="J212" s="67"/>
      <c r="K212" s="67"/>
      <c r="L212" s="67"/>
      <c r="M212" s="67"/>
      <c r="N212" s="67"/>
      <c r="O212" s="67"/>
      <c r="P212" s="67"/>
      <c r="Q212" s="67"/>
      <c r="R212" s="67"/>
      <c r="S212" s="67"/>
      <c r="T212" s="67"/>
      <c r="U212" s="67"/>
      <c r="V212" s="67"/>
      <c r="W212" s="67"/>
      <c r="X212" s="67"/>
      <c r="Y212" s="67"/>
      <c r="Z212" s="72"/>
      <c r="AA212" s="67"/>
      <c r="AB212" s="67"/>
      <c r="AC212" s="67"/>
      <c r="AD212" s="68"/>
      <c r="AE212" s="72" t="str">
        <f t="shared" si="16"/>
        <v/>
      </c>
      <c r="AF212" s="224"/>
      <c r="AG212" s="224"/>
      <c r="AH212" s="224"/>
      <c r="AI212" s="225"/>
      <c r="AJ212" s="72" t="str">
        <f t="shared" si="14"/>
        <v/>
      </c>
      <c r="AK212" s="224"/>
      <c r="AL212" s="225"/>
      <c r="AM212" s="72" t="str">
        <f t="shared" si="15"/>
        <v/>
      </c>
      <c r="AN212" s="72"/>
    </row>
    <row r="213" spans="2:40">
      <c r="B213" s="62" t="str">
        <f t="shared" si="13"/>
        <v/>
      </c>
      <c r="C213" s="61"/>
      <c r="D213" s="67"/>
      <c r="E213" s="67"/>
      <c r="F213" s="67"/>
      <c r="G213" s="61"/>
      <c r="H213" s="70"/>
      <c r="I213" s="67"/>
      <c r="J213" s="67"/>
      <c r="K213" s="67"/>
      <c r="L213" s="67"/>
      <c r="M213" s="67"/>
      <c r="N213" s="67"/>
      <c r="O213" s="67"/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72"/>
      <c r="AA213" s="67"/>
      <c r="AB213" s="67"/>
      <c r="AC213" s="67"/>
      <c r="AD213" s="68"/>
      <c r="AE213" s="72" t="str">
        <f t="shared" si="16"/>
        <v/>
      </c>
      <c r="AF213" s="224"/>
      <c r="AG213" s="224"/>
      <c r="AH213" s="224"/>
      <c r="AI213" s="225"/>
      <c r="AJ213" s="72" t="str">
        <f t="shared" si="14"/>
        <v/>
      </c>
      <c r="AK213" s="224"/>
      <c r="AL213" s="225"/>
      <c r="AM213" s="72" t="str">
        <f t="shared" si="15"/>
        <v/>
      </c>
      <c r="AN213" s="72"/>
    </row>
    <row r="214" spans="2:40">
      <c r="B214" s="62" t="str">
        <f t="shared" si="13"/>
        <v/>
      </c>
      <c r="C214" s="61"/>
      <c r="D214" s="67"/>
      <c r="E214" s="67"/>
      <c r="F214" s="67"/>
      <c r="G214" s="61"/>
      <c r="H214" s="70"/>
      <c r="I214" s="67"/>
      <c r="J214" s="67"/>
      <c r="K214" s="67"/>
      <c r="L214" s="67"/>
      <c r="M214" s="67"/>
      <c r="N214" s="67"/>
      <c r="O214" s="67"/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72"/>
      <c r="AA214" s="67"/>
      <c r="AB214" s="67"/>
      <c r="AC214" s="67"/>
      <c r="AD214" s="68"/>
      <c r="AE214" s="72" t="str">
        <f t="shared" si="16"/>
        <v/>
      </c>
      <c r="AF214" s="224"/>
      <c r="AG214" s="224"/>
      <c r="AH214" s="224"/>
      <c r="AI214" s="225"/>
      <c r="AJ214" s="72" t="str">
        <f t="shared" si="14"/>
        <v/>
      </c>
      <c r="AK214" s="224"/>
      <c r="AL214" s="225"/>
      <c r="AM214" s="72" t="str">
        <f t="shared" si="15"/>
        <v/>
      </c>
      <c r="AN214" s="72"/>
    </row>
    <row r="215" spans="2:40">
      <c r="B215" s="62" t="str">
        <f t="shared" si="13"/>
        <v/>
      </c>
      <c r="C215" s="61"/>
      <c r="D215" s="67"/>
      <c r="E215" s="67"/>
      <c r="F215" s="67"/>
      <c r="G215" s="61"/>
      <c r="H215" s="70"/>
      <c r="I215" s="67"/>
      <c r="J215" s="67"/>
      <c r="K215" s="67"/>
      <c r="L215" s="67"/>
      <c r="M215" s="67"/>
      <c r="N215" s="67"/>
      <c r="O215" s="67"/>
      <c r="P215" s="67"/>
      <c r="Q215" s="67"/>
      <c r="R215" s="67"/>
      <c r="S215" s="67"/>
      <c r="T215" s="67"/>
      <c r="U215" s="67"/>
      <c r="V215" s="67"/>
      <c r="W215" s="67"/>
      <c r="X215" s="67"/>
      <c r="Y215" s="67"/>
      <c r="Z215" s="72"/>
      <c r="AA215" s="67"/>
      <c r="AB215" s="67"/>
      <c r="AC215" s="67"/>
      <c r="AD215" s="68"/>
      <c r="AE215" s="72" t="str">
        <f t="shared" si="16"/>
        <v/>
      </c>
      <c r="AF215" s="224"/>
      <c r="AG215" s="224"/>
      <c r="AH215" s="224"/>
      <c r="AI215" s="225"/>
      <c r="AJ215" s="72" t="str">
        <f t="shared" si="14"/>
        <v/>
      </c>
      <c r="AK215" s="224"/>
      <c r="AL215" s="225"/>
      <c r="AM215" s="72" t="str">
        <f t="shared" si="15"/>
        <v/>
      </c>
      <c r="AN215" s="72"/>
    </row>
    <row r="216" spans="2:40">
      <c r="B216" s="62" t="str">
        <f t="shared" si="13"/>
        <v/>
      </c>
      <c r="C216" s="61"/>
      <c r="D216" s="67"/>
      <c r="E216" s="67"/>
      <c r="F216" s="67"/>
      <c r="G216" s="61"/>
      <c r="H216" s="70"/>
      <c r="I216" s="67"/>
      <c r="J216" s="67"/>
      <c r="K216" s="67"/>
      <c r="L216" s="67"/>
      <c r="M216" s="67"/>
      <c r="N216" s="67"/>
      <c r="O216" s="67"/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72"/>
      <c r="AA216" s="67"/>
      <c r="AB216" s="67"/>
      <c r="AC216" s="67"/>
      <c r="AD216" s="68"/>
      <c r="AE216" s="72" t="str">
        <f t="shared" si="16"/>
        <v/>
      </c>
      <c r="AF216" s="224"/>
      <c r="AG216" s="224"/>
      <c r="AH216" s="224"/>
      <c r="AI216" s="225"/>
      <c r="AJ216" s="72" t="str">
        <f t="shared" si="14"/>
        <v/>
      </c>
      <c r="AK216" s="224"/>
      <c r="AL216" s="225"/>
      <c r="AM216" s="72" t="str">
        <f t="shared" si="15"/>
        <v/>
      </c>
      <c r="AN216" s="72"/>
    </row>
    <row r="217" spans="2:40">
      <c r="B217" s="62" t="str">
        <f t="shared" si="13"/>
        <v/>
      </c>
      <c r="C217" s="61"/>
      <c r="D217" s="67"/>
      <c r="E217" s="67"/>
      <c r="F217" s="67"/>
      <c r="G217" s="61"/>
      <c r="H217" s="70"/>
      <c r="I217" s="67"/>
      <c r="J217" s="67"/>
      <c r="K217" s="67"/>
      <c r="L217" s="67"/>
      <c r="M217" s="67"/>
      <c r="N217" s="67"/>
      <c r="O217" s="67"/>
      <c r="P217" s="67"/>
      <c r="Q217" s="67"/>
      <c r="R217" s="67"/>
      <c r="S217" s="67"/>
      <c r="T217" s="67"/>
      <c r="U217" s="67"/>
      <c r="V217" s="67"/>
      <c r="W217" s="67"/>
      <c r="X217" s="67"/>
      <c r="Y217" s="67"/>
      <c r="Z217" s="72"/>
      <c r="AA217" s="67"/>
      <c r="AB217" s="67"/>
      <c r="AC217" s="67"/>
      <c r="AD217" s="68"/>
      <c r="AE217" s="72" t="str">
        <f t="shared" si="16"/>
        <v/>
      </c>
      <c r="AF217" s="224"/>
      <c r="AG217" s="224"/>
      <c r="AH217" s="224"/>
      <c r="AI217" s="225"/>
      <c r="AJ217" s="72" t="str">
        <f t="shared" si="14"/>
        <v/>
      </c>
      <c r="AK217" s="224"/>
      <c r="AL217" s="225"/>
      <c r="AM217" s="72" t="str">
        <f t="shared" si="15"/>
        <v/>
      </c>
      <c r="AN217" s="72"/>
    </row>
    <row r="218" spans="2:40">
      <c r="B218" s="62" t="str">
        <f t="shared" si="13"/>
        <v/>
      </c>
      <c r="C218" s="61"/>
      <c r="D218" s="67"/>
      <c r="E218" s="67"/>
      <c r="F218" s="67"/>
      <c r="G218" s="61"/>
      <c r="H218" s="70"/>
      <c r="I218" s="67"/>
      <c r="J218" s="67"/>
      <c r="K218" s="67"/>
      <c r="L218" s="67"/>
      <c r="M218" s="67"/>
      <c r="N218" s="67"/>
      <c r="O218" s="67"/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72"/>
      <c r="AA218" s="67"/>
      <c r="AB218" s="67"/>
      <c r="AC218" s="67"/>
      <c r="AD218" s="68"/>
      <c r="AE218" s="72" t="str">
        <f t="shared" si="16"/>
        <v/>
      </c>
      <c r="AF218" s="224"/>
      <c r="AG218" s="224"/>
      <c r="AH218" s="224"/>
      <c r="AI218" s="225"/>
      <c r="AJ218" s="72" t="str">
        <f t="shared" si="14"/>
        <v/>
      </c>
      <c r="AK218" s="224"/>
      <c r="AL218" s="225"/>
      <c r="AM218" s="72" t="str">
        <f t="shared" si="15"/>
        <v/>
      </c>
      <c r="AN218" s="72"/>
    </row>
    <row r="219" spans="2:40">
      <c r="B219" s="62" t="str">
        <f t="shared" si="13"/>
        <v/>
      </c>
      <c r="C219" s="67"/>
      <c r="D219" s="67"/>
      <c r="E219" s="67"/>
      <c r="F219" s="67"/>
      <c r="G219" s="61"/>
      <c r="H219" s="70"/>
      <c r="I219" s="67"/>
      <c r="J219" s="67"/>
      <c r="K219" s="67"/>
      <c r="L219" s="67"/>
      <c r="M219" s="67"/>
      <c r="N219" s="67"/>
      <c r="O219" s="67"/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70"/>
      <c r="AA219" s="67"/>
      <c r="AB219" s="67"/>
      <c r="AC219" s="67"/>
      <c r="AD219" s="68"/>
      <c r="AE219" s="72" t="str">
        <f t="shared" si="16"/>
        <v/>
      </c>
      <c r="AF219" s="224"/>
      <c r="AG219" s="224"/>
      <c r="AH219" s="224"/>
      <c r="AI219" s="225"/>
      <c r="AJ219" s="72" t="str">
        <f t="shared" si="14"/>
        <v/>
      </c>
      <c r="AK219" s="224"/>
      <c r="AL219" s="225"/>
      <c r="AM219" s="72" t="str">
        <f t="shared" si="15"/>
        <v/>
      </c>
      <c r="AN219" s="72"/>
    </row>
    <row r="220" spans="2:40">
      <c r="B220" s="62" t="str">
        <f t="shared" si="13"/>
        <v/>
      </c>
      <c r="C220" s="67"/>
      <c r="D220" s="67"/>
      <c r="E220" s="67"/>
      <c r="F220" s="67"/>
      <c r="G220" s="61"/>
      <c r="H220" s="70"/>
      <c r="I220" s="67"/>
      <c r="J220" s="67"/>
      <c r="K220" s="67"/>
      <c r="L220" s="67"/>
      <c r="M220" s="67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70"/>
      <c r="AA220" s="67"/>
      <c r="AB220" s="67"/>
      <c r="AC220" s="67"/>
      <c r="AD220" s="68"/>
      <c r="AE220" s="72" t="str">
        <f t="shared" si="16"/>
        <v/>
      </c>
      <c r="AF220" s="224"/>
      <c r="AG220" s="224"/>
      <c r="AH220" s="224"/>
      <c r="AI220" s="225"/>
      <c r="AJ220" s="72" t="str">
        <f t="shared" si="14"/>
        <v/>
      </c>
      <c r="AK220" s="224"/>
      <c r="AL220" s="225"/>
      <c r="AM220" s="72" t="str">
        <f t="shared" si="15"/>
        <v/>
      </c>
      <c r="AN220" s="72"/>
    </row>
    <row r="221" spans="2:40">
      <c r="B221" s="62" t="str">
        <f t="shared" si="13"/>
        <v/>
      </c>
      <c r="C221" s="67"/>
      <c r="D221" s="67"/>
      <c r="E221" s="67"/>
      <c r="F221" s="67"/>
      <c r="G221" s="61"/>
      <c r="H221" s="70"/>
      <c r="I221" s="67"/>
      <c r="J221" s="67"/>
      <c r="K221" s="67"/>
      <c r="L221" s="67"/>
      <c r="M221" s="67"/>
      <c r="N221" s="67"/>
      <c r="O221" s="67"/>
      <c r="P221" s="67"/>
      <c r="Q221" s="67"/>
      <c r="R221" s="67"/>
      <c r="S221" s="67"/>
      <c r="T221" s="67"/>
      <c r="U221" s="67"/>
      <c r="V221" s="67"/>
      <c r="W221" s="67"/>
      <c r="X221" s="67"/>
      <c r="Y221" s="67"/>
      <c r="Z221" s="70"/>
      <c r="AA221" s="67"/>
      <c r="AB221" s="67"/>
      <c r="AC221" s="67"/>
      <c r="AD221" s="68"/>
      <c r="AE221" s="72" t="str">
        <f t="shared" si="16"/>
        <v/>
      </c>
      <c r="AF221" s="224"/>
      <c r="AG221" s="224"/>
      <c r="AH221" s="224"/>
      <c r="AI221" s="225"/>
      <c r="AJ221" s="72" t="str">
        <f t="shared" si="14"/>
        <v/>
      </c>
      <c r="AK221" s="224"/>
      <c r="AL221" s="225"/>
      <c r="AM221" s="72" t="str">
        <f t="shared" si="15"/>
        <v/>
      </c>
      <c r="AN221" s="72"/>
    </row>
    <row r="222" spans="2:40">
      <c r="B222" s="62" t="str">
        <f t="shared" si="13"/>
        <v/>
      </c>
      <c r="C222" s="67"/>
      <c r="D222" s="67"/>
      <c r="E222" s="67"/>
      <c r="F222" s="67"/>
      <c r="G222" s="61"/>
      <c r="H222" s="70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70"/>
      <c r="AA222" s="67"/>
      <c r="AB222" s="67"/>
      <c r="AC222" s="67"/>
      <c r="AD222" s="68"/>
      <c r="AE222" s="72" t="str">
        <f t="shared" si="16"/>
        <v/>
      </c>
      <c r="AF222" s="224"/>
      <c r="AG222" s="224"/>
      <c r="AH222" s="224"/>
      <c r="AI222" s="225"/>
      <c r="AJ222" s="72" t="str">
        <f t="shared" si="14"/>
        <v/>
      </c>
      <c r="AK222" s="224"/>
      <c r="AL222" s="225"/>
      <c r="AM222" s="72" t="str">
        <f t="shared" si="15"/>
        <v/>
      </c>
      <c r="AN222" s="72"/>
    </row>
    <row r="223" spans="2:40">
      <c r="B223" s="62" t="str">
        <f t="shared" si="13"/>
        <v/>
      </c>
      <c r="C223" s="67"/>
      <c r="D223" s="67"/>
      <c r="E223" s="67"/>
      <c r="F223" s="67"/>
      <c r="G223" s="61"/>
      <c r="H223" s="70"/>
      <c r="I223" s="67"/>
      <c r="J223" s="67"/>
      <c r="K223" s="67"/>
      <c r="L223" s="67"/>
      <c r="M223" s="67"/>
      <c r="N223" s="67"/>
      <c r="O223" s="67"/>
      <c r="P223" s="67"/>
      <c r="Q223" s="67"/>
      <c r="R223" s="67"/>
      <c r="S223" s="67"/>
      <c r="T223" s="67"/>
      <c r="U223" s="67"/>
      <c r="V223" s="67"/>
      <c r="W223" s="67"/>
      <c r="X223" s="67"/>
      <c r="Y223" s="67"/>
      <c r="Z223" s="70"/>
      <c r="AA223" s="67"/>
      <c r="AB223" s="67"/>
      <c r="AC223" s="67"/>
      <c r="AD223" s="68"/>
      <c r="AE223" s="72" t="str">
        <f t="shared" si="16"/>
        <v/>
      </c>
      <c r="AF223" s="224"/>
      <c r="AG223" s="224"/>
      <c r="AH223" s="224"/>
      <c r="AI223" s="225"/>
      <c r="AJ223" s="72" t="str">
        <f t="shared" si="14"/>
        <v/>
      </c>
      <c r="AK223" s="224"/>
      <c r="AL223" s="225"/>
      <c r="AM223" s="72" t="str">
        <f t="shared" si="15"/>
        <v/>
      </c>
      <c r="AN223" s="72"/>
    </row>
    <row r="224" spans="2:40">
      <c r="B224" s="62" t="str">
        <f t="shared" si="13"/>
        <v/>
      </c>
      <c r="C224" s="67"/>
      <c r="D224" s="67"/>
      <c r="E224" s="67"/>
      <c r="F224" s="67"/>
      <c r="G224" s="61"/>
      <c r="H224" s="70"/>
      <c r="I224" s="67"/>
      <c r="J224" s="67"/>
      <c r="K224" s="67"/>
      <c r="L224" s="67"/>
      <c r="M224" s="67"/>
      <c r="N224" s="67"/>
      <c r="O224" s="67"/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70"/>
      <c r="AA224" s="67"/>
      <c r="AB224" s="67"/>
      <c r="AC224" s="67"/>
      <c r="AD224" s="68"/>
      <c r="AE224" s="72" t="str">
        <f t="shared" si="16"/>
        <v/>
      </c>
      <c r="AF224" s="224"/>
      <c r="AG224" s="224"/>
      <c r="AH224" s="224"/>
      <c r="AI224" s="225"/>
      <c r="AJ224" s="72" t="str">
        <f t="shared" si="14"/>
        <v/>
      </c>
      <c r="AK224" s="224"/>
      <c r="AL224" s="225"/>
      <c r="AM224" s="72" t="str">
        <f t="shared" si="15"/>
        <v/>
      </c>
      <c r="AN224" s="72"/>
    </row>
    <row r="225" spans="2:40">
      <c r="B225" s="62" t="str">
        <f t="shared" si="13"/>
        <v/>
      </c>
      <c r="C225" s="67"/>
      <c r="D225" s="67"/>
      <c r="E225" s="67"/>
      <c r="F225" s="67"/>
      <c r="G225" s="61"/>
      <c r="H225" s="70"/>
      <c r="I225" s="67"/>
      <c r="J225" s="67"/>
      <c r="K225" s="67"/>
      <c r="L225" s="67"/>
      <c r="M225" s="67"/>
      <c r="N225" s="67"/>
      <c r="O225" s="67"/>
      <c r="P225" s="67"/>
      <c r="Q225" s="67"/>
      <c r="R225" s="67"/>
      <c r="S225" s="67"/>
      <c r="T225" s="67"/>
      <c r="U225" s="67"/>
      <c r="V225" s="67"/>
      <c r="W225" s="67"/>
      <c r="X225" s="67"/>
      <c r="Y225" s="67"/>
      <c r="Z225" s="70"/>
      <c r="AA225" s="67"/>
      <c r="AB225" s="67"/>
      <c r="AC225" s="67"/>
      <c r="AD225" s="68"/>
      <c r="AE225" s="72" t="str">
        <f t="shared" si="16"/>
        <v/>
      </c>
      <c r="AF225" s="224"/>
      <c r="AG225" s="224"/>
      <c r="AH225" s="224"/>
      <c r="AI225" s="225"/>
      <c r="AJ225" s="72" t="str">
        <f t="shared" si="14"/>
        <v/>
      </c>
      <c r="AK225" s="224"/>
      <c r="AL225" s="225"/>
      <c r="AM225" s="72" t="str">
        <f t="shared" si="15"/>
        <v/>
      </c>
      <c r="AN225" s="72"/>
    </row>
    <row r="226" spans="2:40">
      <c r="B226" s="62" t="str">
        <f t="shared" si="13"/>
        <v/>
      </c>
      <c r="C226" s="67"/>
      <c r="D226" s="67"/>
      <c r="E226" s="67"/>
      <c r="F226" s="67"/>
      <c r="G226" s="61"/>
      <c r="H226" s="70"/>
      <c r="I226" s="67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70"/>
      <c r="AA226" s="67"/>
      <c r="AB226" s="67"/>
      <c r="AC226" s="67"/>
      <c r="AD226" s="68"/>
      <c r="AE226" s="72" t="str">
        <f t="shared" si="16"/>
        <v/>
      </c>
      <c r="AF226" s="224"/>
      <c r="AG226" s="224"/>
      <c r="AH226" s="224"/>
      <c r="AI226" s="225"/>
      <c r="AJ226" s="72" t="str">
        <f t="shared" si="14"/>
        <v/>
      </c>
      <c r="AK226" s="224"/>
      <c r="AL226" s="225"/>
      <c r="AM226" s="72" t="str">
        <f t="shared" si="15"/>
        <v/>
      </c>
      <c r="AN226" s="72"/>
    </row>
    <row r="227" spans="2:40">
      <c r="B227" s="62" t="str">
        <f t="shared" si="13"/>
        <v/>
      </c>
      <c r="C227" s="67"/>
      <c r="D227" s="67"/>
      <c r="E227" s="67"/>
      <c r="F227" s="67"/>
      <c r="G227" s="61"/>
      <c r="H227" s="70"/>
      <c r="I227" s="67"/>
      <c r="J227" s="67"/>
      <c r="K227" s="67"/>
      <c r="L227" s="67"/>
      <c r="M227" s="67"/>
      <c r="N227" s="67"/>
      <c r="O227" s="67"/>
      <c r="P227" s="67"/>
      <c r="Q227" s="67"/>
      <c r="R227" s="67"/>
      <c r="S227" s="67"/>
      <c r="T227" s="67"/>
      <c r="U227" s="67"/>
      <c r="V227" s="67"/>
      <c r="W227" s="67"/>
      <c r="X227" s="67"/>
      <c r="Y227" s="67"/>
      <c r="Z227" s="70"/>
      <c r="AA227" s="67"/>
      <c r="AB227" s="67"/>
      <c r="AC227" s="67"/>
      <c r="AD227" s="68"/>
      <c r="AE227" s="72" t="str">
        <f t="shared" si="16"/>
        <v/>
      </c>
      <c r="AF227" s="224"/>
      <c r="AG227" s="224"/>
      <c r="AH227" s="224"/>
      <c r="AI227" s="225"/>
      <c r="AJ227" s="72" t="str">
        <f t="shared" si="14"/>
        <v/>
      </c>
      <c r="AK227" s="224"/>
      <c r="AL227" s="225"/>
      <c r="AM227" s="72" t="str">
        <f t="shared" si="15"/>
        <v/>
      </c>
      <c r="AN227" s="72"/>
    </row>
    <row r="228" spans="2:40">
      <c r="B228" s="62" t="str">
        <f t="shared" si="13"/>
        <v/>
      </c>
      <c r="C228" s="67"/>
      <c r="D228" s="67"/>
      <c r="E228" s="67"/>
      <c r="F228" s="67"/>
      <c r="G228" s="61"/>
      <c r="H228" s="70"/>
      <c r="I228" s="67"/>
      <c r="J228" s="67"/>
      <c r="K228" s="67"/>
      <c r="L228" s="67"/>
      <c r="M228" s="67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70"/>
      <c r="AA228" s="67"/>
      <c r="AB228" s="67"/>
      <c r="AC228" s="67"/>
      <c r="AD228" s="68"/>
      <c r="AE228" s="72" t="str">
        <f t="shared" si="16"/>
        <v/>
      </c>
      <c r="AF228" s="224"/>
      <c r="AG228" s="224"/>
      <c r="AH228" s="224"/>
      <c r="AI228" s="225"/>
      <c r="AJ228" s="72" t="str">
        <f t="shared" si="14"/>
        <v/>
      </c>
      <c r="AK228" s="224"/>
      <c r="AL228" s="225"/>
      <c r="AM228" s="72" t="str">
        <f t="shared" si="15"/>
        <v/>
      </c>
      <c r="AN228" s="72"/>
    </row>
    <row r="229" spans="2:40">
      <c r="B229" s="62" t="str">
        <f t="shared" si="13"/>
        <v/>
      </c>
      <c r="C229" s="67"/>
      <c r="D229" s="67"/>
      <c r="E229" s="67"/>
      <c r="F229" s="67"/>
      <c r="G229" s="61"/>
      <c r="H229" s="70"/>
      <c r="I229" s="67"/>
      <c r="J229" s="67"/>
      <c r="K229" s="67"/>
      <c r="L229" s="67"/>
      <c r="M229" s="67"/>
      <c r="N229" s="67"/>
      <c r="O229" s="67"/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70"/>
      <c r="AA229" s="67"/>
      <c r="AB229" s="67"/>
      <c r="AC229" s="67"/>
      <c r="AD229" s="68"/>
      <c r="AE229" s="72" t="str">
        <f t="shared" si="16"/>
        <v/>
      </c>
      <c r="AF229" s="224"/>
      <c r="AG229" s="224"/>
      <c r="AH229" s="224"/>
      <c r="AI229" s="225"/>
      <c r="AJ229" s="72" t="str">
        <f t="shared" si="14"/>
        <v/>
      </c>
      <c r="AK229" s="224"/>
      <c r="AL229" s="225"/>
      <c r="AM229" s="72" t="str">
        <f t="shared" si="15"/>
        <v/>
      </c>
      <c r="AN229" s="72"/>
    </row>
    <row r="230" spans="2:40">
      <c r="B230" s="62" t="str">
        <f t="shared" si="13"/>
        <v/>
      </c>
      <c r="C230" s="67"/>
      <c r="D230" s="67"/>
      <c r="E230" s="67"/>
      <c r="F230" s="67"/>
      <c r="G230" s="61"/>
      <c r="H230" s="70"/>
      <c r="I230" s="67"/>
      <c r="J230" s="67"/>
      <c r="K230" s="67"/>
      <c r="L230" s="67"/>
      <c r="M230" s="67"/>
      <c r="N230" s="67"/>
      <c r="O230" s="67"/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70"/>
      <c r="AA230" s="67"/>
      <c r="AB230" s="67"/>
      <c r="AC230" s="67"/>
      <c r="AD230" s="68"/>
      <c r="AE230" s="72" t="str">
        <f t="shared" si="16"/>
        <v/>
      </c>
      <c r="AF230" s="224"/>
      <c r="AG230" s="224"/>
      <c r="AH230" s="224"/>
      <c r="AI230" s="225"/>
      <c r="AJ230" s="72" t="str">
        <f t="shared" si="14"/>
        <v/>
      </c>
      <c r="AK230" s="224"/>
      <c r="AL230" s="225"/>
      <c r="AM230" s="72" t="str">
        <f t="shared" si="15"/>
        <v/>
      </c>
      <c r="AN230" s="72"/>
    </row>
    <row r="231" spans="2:40">
      <c r="B231" s="62" t="str">
        <f t="shared" si="13"/>
        <v/>
      </c>
      <c r="C231" s="67"/>
      <c r="D231" s="67"/>
      <c r="E231" s="67"/>
      <c r="F231" s="67"/>
      <c r="G231" s="61"/>
      <c r="H231" s="70"/>
      <c r="I231" s="67"/>
      <c r="J231" s="67"/>
      <c r="K231" s="67"/>
      <c r="L231" s="67"/>
      <c r="M231" s="67"/>
      <c r="N231" s="67"/>
      <c r="O231" s="67"/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70"/>
      <c r="AA231" s="67"/>
      <c r="AB231" s="67"/>
      <c r="AC231" s="67"/>
      <c r="AD231" s="68"/>
      <c r="AE231" s="72" t="str">
        <f t="shared" si="16"/>
        <v/>
      </c>
      <c r="AF231" s="224"/>
      <c r="AG231" s="224"/>
      <c r="AH231" s="224"/>
      <c r="AI231" s="225"/>
      <c r="AJ231" s="72" t="str">
        <f t="shared" si="14"/>
        <v/>
      </c>
      <c r="AK231" s="224"/>
      <c r="AL231" s="225"/>
      <c r="AM231" s="72" t="str">
        <f t="shared" si="15"/>
        <v/>
      </c>
      <c r="AN231" s="72"/>
    </row>
    <row r="232" spans="2:40">
      <c r="B232" s="62" t="str">
        <f t="shared" si="13"/>
        <v/>
      </c>
      <c r="C232" s="67"/>
      <c r="D232" s="67"/>
      <c r="E232" s="67"/>
      <c r="F232" s="67"/>
      <c r="G232" s="61"/>
      <c r="H232" s="70"/>
      <c r="I232" s="67"/>
      <c r="J232" s="67"/>
      <c r="K232" s="67"/>
      <c r="L232" s="67"/>
      <c r="M232" s="67"/>
      <c r="N232" s="67"/>
      <c r="O232" s="67"/>
      <c r="P232" s="67"/>
      <c r="Q232" s="67"/>
      <c r="R232" s="67"/>
      <c r="S232" s="67"/>
      <c r="T232" s="67"/>
      <c r="U232" s="67"/>
      <c r="V232" s="67"/>
      <c r="W232" s="67"/>
      <c r="X232" s="67"/>
      <c r="Y232" s="67"/>
      <c r="Z232" s="70"/>
      <c r="AA232" s="67"/>
      <c r="AB232" s="67"/>
      <c r="AC232" s="67"/>
      <c r="AD232" s="68"/>
      <c r="AE232" s="72" t="str">
        <f t="shared" si="16"/>
        <v/>
      </c>
      <c r="AF232" s="224"/>
      <c r="AG232" s="224"/>
      <c r="AH232" s="224"/>
      <c r="AI232" s="225"/>
      <c r="AJ232" s="72" t="str">
        <f t="shared" si="14"/>
        <v/>
      </c>
      <c r="AK232" s="224"/>
      <c r="AL232" s="225"/>
      <c r="AM232" s="72" t="str">
        <f t="shared" si="15"/>
        <v/>
      </c>
      <c r="AN232" s="72"/>
    </row>
    <row r="233" spans="2:40">
      <c r="B233" s="62" t="str">
        <f t="shared" si="13"/>
        <v/>
      </c>
      <c r="C233" s="67"/>
      <c r="D233" s="67"/>
      <c r="E233" s="67"/>
      <c r="F233" s="67"/>
      <c r="G233" s="61"/>
      <c r="H233" s="70"/>
      <c r="I233" s="67"/>
      <c r="J233" s="67"/>
      <c r="K233" s="67"/>
      <c r="L233" s="67"/>
      <c r="M233" s="67"/>
      <c r="N233" s="67"/>
      <c r="O233" s="67"/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70"/>
      <c r="AA233" s="67"/>
      <c r="AB233" s="67"/>
      <c r="AC233" s="67"/>
      <c r="AD233" s="68"/>
      <c r="AE233" s="72" t="str">
        <f t="shared" si="16"/>
        <v/>
      </c>
      <c r="AF233" s="224"/>
      <c r="AG233" s="224"/>
      <c r="AH233" s="224"/>
      <c r="AI233" s="225"/>
      <c r="AJ233" s="72" t="str">
        <f t="shared" si="14"/>
        <v/>
      </c>
      <c r="AK233" s="224"/>
      <c r="AL233" s="225"/>
      <c r="AM233" s="72" t="str">
        <f t="shared" si="15"/>
        <v/>
      </c>
      <c r="AN233" s="72"/>
    </row>
    <row r="234" spans="2:40">
      <c r="B234" s="62" t="str">
        <f t="shared" si="13"/>
        <v/>
      </c>
      <c r="C234" s="221"/>
      <c r="D234" s="221"/>
      <c r="E234" s="221"/>
      <c r="F234" s="221"/>
      <c r="G234" s="222"/>
      <c r="H234" s="223"/>
      <c r="I234" s="221"/>
      <c r="J234" s="221"/>
      <c r="K234" s="221"/>
      <c r="L234" s="221"/>
      <c r="M234" s="221"/>
      <c r="N234" s="221"/>
      <c r="O234" s="221"/>
      <c r="P234" s="221"/>
      <c r="Q234" s="221"/>
      <c r="R234" s="221"/>
      <c r="S234" s="221"/>
      <c r="T234" s="221"/>
      <c r="U234" s="221"/>
      <c r="V234" s="221"/>
      <c r="W234" s="221"/>
      <c r="X234" s="221"/>
      <c r="Y234" s="221"/>
      <c r="Z234" s="223"/>
      <c r="AA234" s="221"/>
      <c r="AB234" s="221"/>
      <c r="AC234" s="221"/>
      <c r="AE234" s="72" t="str">
        <f t="shared" si="16"/>
        <v/>
      </c>
      <c r="AF234" s="226"/>
      <c r="AG234" s="226"/>
      <c r="AH234" s="226"/>
      <c r="AI234" s="227"/>
      <c r="AJ234" s="72" t="str">
        <f t="shared" si="14"/>
        <v/>
      </c>
      <c r="AK234" s="226"/>
      <c r="AL234" s="227"/>
      <c r="AM234" s="72" t="str">
        <f t="shared" si="15"/>
        <v/>
      </c>
      <c r="AN234" s="228"/>
    </row>
    <row r="235" spans="2:40">
      <c r="B235" s="62" t="str">
        <f t="shared" si="13"/>
        <v/>
      </c>
      <c r="C235" s="221"/>
      <c r="D235" s="221"/>
      <c r="E235" s="221"/>
      <c r="F235" s="221"/>
      <c r="G235" s="222"/>
      <c r="H235" s="223"/>
      <c r="I235" s="221"/>
      <c r="J235" s="221"/>
      <c r="K235" s="221"/>
      <c r="L235" s="221"/>
      <c r="M235" s="221"/>
      <c r="N235" s="221"/>
      <c r="O235" s="221"/>
      <c r="P235" s="221"/>
      <c r="Q235" s="221"/>
      <c r="R235" s="221"/>
      <c r="S235" s="221"/>
      <c r="T235" s="221"/>
      <c r="U235" s="221"/>
      <c r="V235" s="221"/>
      <c r="W235" s="221"/>
      <c r="X235" s="221"/>
      <c r="Y235" s="221"/>
      <c r="Z235" s="223"/>
      <c r="AA235" s="221"/>
      <c r="AB235" s="221"/>
      <c r="AC235" s="221"/>
      <c r="AE235" s="72" t="str">
        <f t="shared" si="16"/>
        <v/>
      </c>
      <c r="AF235" s="226"/>
      <c r="AG235" s="226"/>
      <c r="AH235" s="226"/>
      <c r="AI235" s="227"/>
      <c r="AJ235" s="72" t="str">
        <f t="shared" si="14"/>
        <v/>
      </c>
      <c r="AK235" s="226"/>
      <c r="AL235" s="227"/>
      <c r="AM235" s="72" t="str">
        <f t="shared" si="15"/>
        <v/>
      </c>
      <c r="AN235" s="228"/>
    </row>
    <row r="236" spans="2:40">
      <c r="B236" s="62" t="str">
        <f t="shared" si="13"/>
        <v/>
      </c>
      <c r="C236" s="221"/>
      <c r="D236" s="221"/>
      <c r="E236" s="221"/>
      <c r="F236" s="221"/>
      <c r="G236" s="222"/>
      <c r="H236" s="223"/>
      <c r="I236" s="221"/>
      <c r="J236" s="221"/>
      <c r="K236" s="221"/>
      <c r="L236" s="221"/>
      <c r="M236" s="221"/>
      <c r="N236" s="221"/>
      <c r="O236" s="221"/>
      <c r="P236" s="221"/>
      <c r="Q236" s="221"/>
      <c r="R236" s="221"/>
      <c r="S236" s="221"/>
      <c r="T236" s="221"/>
      <c r="U236" s="221"/>
      <c r="V236" s="221"/>
      <c r="W236" s="221"/>
      <c r="X236" s="221"/>
      <c r="Y236" s="221"/>
      <c r="Z236" s="223"/>
      <c r="AA236" s="221"/>
      <c r="AB236" s="221"/>
      <c r="AC236" s="221"/>
      <c r="AE236" s="72" t="str">
        <f t="shared" si="16"/>
        <v/>
      </c>
      <c r="AF236" s="226"/>
      <c r="AG236" s="226"/>
      <c r="AH236" s="226"/>
      <c r="AI236" s="227"/>
      <c r="AJ236" s="72" t="str">
        <f t="shared" si="14"/>
        <v/>
      </c>
      <c r="AK236" s="226"/>
      <c r="AL236" s="227"/>
      <c r="AM236" s="72" t="str">
        <f t="shared" si="15"/>
        <v/>
      </c>
      <c r="AN236" s="228"/>
    </row>
    <row r="237" spans="2:40">
      <c r="B237" s="62" t="str">
        <f t="shared" si="13"/>
        <v/>
      </c>
      <c r="C237" s="221"/>
      <c r="D237" s="221"/>
      <c r="E237" s="221"/>
      <c r="F237" s="221"/>
      <c r="G237" s="222"/>
      <c r="H237" s="223"/>
      <c r="I237" s="221"/>
      <c r="J237" s="221"/>
      <c r="K237" s="221"/>
      <c r="L237" s="221"/>
      <c r="M237" s="221"/>
      <c r="N237" s="221"/>
      <c r="O237" s="221"/>
      <c r="P237" s="221"/>
      <c r="Q237" s="221"/>
      <c r="R237" s="221"/>
      <c r="S237" s="221"/>
      <c r="T237" s="221"/>
      <c r="U237" s="221"/>
      <c r="V237" s="221"/>
      <c r="W237" s="221"/>
      <c r="X237" s="221"/>
      <c r="Y237" s="221"/>
      <c r="Z237" s="223"/>
      <c r="AA237" s="221"/>
      <c r="AB237" s="221"/>
      <c r="AC237" s="221"/>
      <c r="AE237" s="72" t="str">
        <f t="shared" si="16"/>
        <v/>
      </c>
      <c r="AF237" s="226"/>
      <c r="AG237" s="226"/>
      <c r="AH237" s="226"/>
      <c r="AI237" s="227"/>
      <c r="AJ237" s="72" t="str">
        <f t="shared" si="14"/>
        <v/>
      </c>
      <c r="AK237" s="226"/>
      <c r="AL237" s="227"/>
      <c r="AM237" s="72" t="str">
        <f t="shared" si="15"/>
        <v/>
      </c>
      <c r="AN237" s="228"/>
    </row>
    <row r="238" spans="2:40">
      <c r="B238" s="62" t="str">
        <f t="shared" si="13"/>
        <v/>
      </c>
      <c r="C238" s="221"/>
      <c r="D238" s="221"/>
      <c r="E238" s="221"/>
      <c r="F238" s="221"/>
      <c r="G238" s="222"/>
      <c r="H238" s="223"/>
      <c r="I238" s="221"/>
      <c r="J238" s="221"/>
      <c r="K238" s="221"/>
      <c r="L238" s="221"/>
      <c r="M238" s="221"/>
      <c r="N238" s="221"/>
      <c r="O238" s="221"/>
      <c r="P238" s="221"/>
      <c r="Q238" s="221"/>
      <c r="R238" s="221"/>
      <c r="S238" s="221"/>
      <c r="T238" s="221"/>
      <c r="U238" s="221"/>
      <c r="V238" s="221"/>
      <c r="W238" s="221"/>
      <c r="X238" s="221"/>
      <c r="Y238" s="221"/>
      <c r="Z238" s="223"/>
      <c r="AA238" s="221"/>
      <c r="AB238" s="221"/>
      <c r="AC238" s="221"/>
      <c r="AE238" s="72" t="str">
        <f t="shared" si="16"/>
        <v/>
      </c>
      <c r="AF238" s="226"/>
      <c r="AG238" s="226"/>
      <c r="AH238" s="226"/>
      <c r="AI238" s="227"/>
      <c r="AJ238" s="72" t="str">
        <f t="shared" si="14"/>
        <v/>
      </c>
      <c r="AK238" s="226"/>
      <c r="AL238" s="227"/>
      <c r="AM238" s="72" t="str">
        <f t="shared" si="15"/>
        <v/>
      </c>
      <c r="AN238" s="228"/>
    </row>
    <row r="239" spans="2:40">
      <c r="B239" s="62" t="str">
        <f t="shared" si="13"/>
        <v/>
      </c>
      <c r="C239" s="221"/>
      <c r="D239" s="221"/>
      <c r="E239" s="221"/>
      <c r="F239" s="221"/>
      <c r="G239" s="222"/>
      <c r="H239" s="223"/>
      <c r="I239" s="221"/>
      <c r="J239" s="221"/>
      <c r="K239" s="221"/>
      <c r="L239" s="221"/>
      <c r="M239" s="221"/>
      <c r="N239" s="221"/>
      <c r="O239" s="221"/>
      <c r="P239" s="221"/>
      <c r="Q239" s="221"/>
      <c r="R239" s="221"/>
      <c r="S239" s="221"/>
      <c r="T239" s="221"/>
      <c r="U239" s="221"/>
      <c r="V239" s="221"/>
      <c r="W239" s="221"/>
      <c r="X239" s="221"/>
      <c r="Y239" s="221"/>
      <c r="Z239" s="223"/>
      <c r="AA239" s="221"/>
      <c r="AB239" s="221"/>
      <c r="AC239" s="221"/>
      <c r="AE239" s="72" t="str">
        <f t="shared" si="16"/>
        <v/>
      </c>
      <c r="AF239" s="226"/>
      <c r="AG239" s="226"/>
      <c r="AH239" s="226"/>
      <c r="AI239" s="227"/>
      <c r="AJ239" s="72" t="str">
        <f t="shared" si="14"/>
        <v/>
      </c>
      <c r="AK239" s="226"/>
      <c r="AL239" s="227"/>
      <c r="AM239" s="72" t="str">
        <f t="shared" si="15"/>
        <v/>
      </c>
      <c r="AN239" s="228"/>
    </row>
    <row r="240" spans="2:40">
      <c r="B240" s="62" t="str">
        <f t="shared" si="13"/>
        <v/>
      </c>
      <c r="C240" s="221"/>
      <c r="D240" s="221"/>
      <c r="E240" s="221"/>
      <c r="F240" s="221"/>
      <c r="G240" s="222"/>
      <c r="H240" s="223"/>
      <c r="I240" s="221"/>
      <c r="J240" s="221"/>
      <c r="K240" s="221"/>
      <c r="L240" s="221"/>
      <c r="M240" s="221"/>
      <c r="N240" s="221"/>
      <c r="O240" s="221"/>
      <c r="P240" s="221"/>
      <c r="Q240" s="221"/>
      <c r="R240" s="221"/>
      <c r="S240" s="221"/>
      <c r="T240" s="221"/>
      <c r="U240" s="221"/>
      <c r="V240" s="221"/>
      <c r="W240" s="221"/>
      <c r="X240" s="221"/>
      <c r="Y240" s="221"/>
      <c r="Z240" s="223"/>
      <c r="AA240" s="221"/>
      <c r="AB240" s="221"/>
      <c r="AC240" s="221"/>
      <c r="AE240" s="72" t="str">
        <f t="shared" si="16"/>
        <v/>
      </c>
      <c r="AF240" s="226"/>
      <c r="AG240" s="226"/>
      <c r="AH240" s="226"/>
      <c r="AI240" s="227"/>
      <c r="AJ240" s="72" t="str">
        <f t="shared" si="14"/>
        <v/>
      </c>
      <c r="AK240" s="226"/>
      <c r="AL240" s="227"/>
      <c r="AM240" s="72" t="str">
        <f t="shared" si="15"/>
        <v/>
      </c>
      <c r="AN240" s="228"/>
    </row>
    <row r="241" spans="2:40">
      <c r="B241" s="62" t="str">
        <f t="shared" si="13"/>
        <v/>
      </c>
      <c r="C241" s="221"/>
      <c r="D241" s="221"/>
      <c r="E241" s="221"/>
      <c r="F241" s="221"/>
      <c r="G241" s="222"/>
      <c r="H241" s="223"/>
      <c r="I241" s="221"/>
      <c r="J241" s="221"/>
      <c r="K241" s="221"/>
      <c r="L241" s="221"/>
      <c r="M241" s="221"/>
      <c r="N241" s="221"/>
      <c r="O241" s="221"/>
      <c r="P241" s="221"/>
      <c r="Q241" s="221"/>
      <c r="R241" s="221"/>
      <c r="S241" s="221"/>
      <c r="T241" s="221"/>
      <c r="U241" s="221"/>
      <c r="V241" s="221"/>
      <c r="W241" s="221"/>
      <c r="X241" s="221"/>
      <c r="Y241" s="221"/>
      <c r="Z241" s="223"/>
      <c r="AA241" s="221"/>
      <c r="AB241" s="221"/>
      <c r="AC241" s="221"/>
      <c r="AE241" s="72" t="str">
        <f t="shared" si="16"/>
        <v/>
      </c>
      <c r="AF241" s="226"/>
      <c r="AG241" s="226"/>
      <c r="AH241" s="226"/>
      <c r="AI241" s="227"/>
      <c r="AJ241" s="72" t="str">
        <f t="shared" si="14"/>
        <v/>
      </c>
      <c r="AK241" s="226"/>
      <c r="AL241" s="227"/>
      <c r="AM241" s="72" t="str">
        <f t="shared" si="15"/>
        <v/>
      </c>
      <c r="AN241" s="228"/>
    </row>
    <row r="242" spans="2:40">
      <c r="B242" s="62" t="str">
        <f t="shared" si="13"/>
        <v/>
      </c>
      <c r="C242" s="221"/>
      <c r="D242" s="221"/>
      <c r="E242" s="221"/>
      <c r="F242" s="221"/>
      <c r="G242" s="222"/>
      <c r="H242" s="223"/>
      <c r="I242" s="221"/>
      <c r="J242" s="221"/>
      <c r="K242" s="221"/>
      <c r="L242" s="221"/>
      <c r="M242" s="221"/>
      <c r="N242" s="221"/>
      <c r="O242" s="221"/>
      <c r="P242" s="221"/>
      <c r="Q242" s="221"/>
      <c r="R242" s="221"/>
      <c r="S242" s="221"/>
      <c r="T242" s="221"/>
      <c r="U242" s="221"/>
      <c r="V242" s="221"/>
      <c r="W242" s="221"/>
      <c r="X242" s="221"/>
      <c r="Y242" s="221"/>
      <c r="Z242" s="223"/>
      <c r="AA242" s="221"/>
      <c r="AB242" s="221"/>
      <c r="AC242" s="221"/>
      <c r="AE242" s="72" t="str">
        <f t="shared" si="16"/>
        <v/>
      </c>
      <c r="AF242" s="226"/>
      <c r="AG242" s="226"/>
      <c r="AH242" s="226"/>
      <c r="AI242" s="227"/>
      <c r="AJ242" s="72" t="str">
        <f t="shared" si="14"/>
        <v/>
      </c>
      <c r="AK242" s="226"/>
      <c r="AL242" s="227"/>
      <c r="AM242" s="72" t="str">
        <f t="shared" si="15"/>
        <v/>
      </c>
      <c r="AN242" s="228"/>
    </row>
    <row r="243" spans="2:40">
      <c r="B243" s="62" t="str">
        <f t="shared" si="13"/>
        <v/>
      </c>
      <c r="C243" s="221"/>
      <c r="D243" s="221"/>
      <c r="E243" s="221"/>
      <c r="F243" s="221"/>
      <c r="G243" s="222"/>
      <c r="H243" s="223"/>
      <c r="I243" s="221"/>
      <c r="J243" s="221"/>
      <c r="K243" s="221"/>
      <c r="L243" s="221"/>
      <c r="M243" s="221"/>
      <c r="N243" s="221"/>
      <c r="O243" s="221"/>
      <c r="P243" s="221"/>
      <c r="Q243" s="221"/>
      <c r="R243" s="221"/>
      <c r="S243" s="221"/>
      <c r="T243" s="221"/>
      <c r="U243" s="221"/>
      <c r="V243" s="221"/>
      <c r="W243" s="221"/>
      <c r="X243" s="221"/>
      <c r="Y243" s="221"/>
      <c r="Z243" s="223"/>
      <c r="AA243" s="221"/>
      <c r="AB243" s="221"/>
      <c r="AC243" s="221"/>
      <c r="AE243" s="72" t="str">
        <f t="shared" si="16"/>
        <v/>
      </c>
      <c r="AF243" s="226"/>
      <c r="AG243" s="226"/>
      <c r="AH243" s="226"/>
      <c r="AI243" s="227"/>
      <c r="AJ243" s="72" t="str">
        <f t="shared" si="14"/>
        <v/>
      </c>
      <c r="AK243" s="226"/>
      <c r="AL243" s="227"/>
      <c r="AM243" s="72" t="str">
        <f t="shared" si="15"/>
        <v/>
      </c>
      <c r="AN243" s="228"/>
    </row>
    <row r="244" spans="2:40">
      <c r="B244" s="62" t="str">
        <f t="shared" si="13"/>
        <v/>
      </c>
      <c r="C244" s="221"/>
      <c r="D244" s="221"/>
      <c r="E244" s="221"/>
      <c r="F244" s="221"/>
      <c r="G244" s="222"/>
      <c r="H244" s="223"/>
      <c r="I244" s="221"/>
      <c r="J244" s="221"/>
      <c r="K244" s="221"/>
      <c r="L244" s="221"/>
      <c r="M244" s="221"/>
      <c r="N244" s="221"/>
      <c r="O244" s="221"/>
      <c r="P244" s="221"/>
      <c r="Q244" s="221"/>
      <c r="R244" s="221"/>
      <c r="S244" s="221"/>
      <c r="T244" s="221"/>
      <c r="U244" s="221"/>
      <c r="V244" s="221"/>
      <c r="W244" s="221"/>
      <c r="X244" s="221"/>
      <c r="Y244" s="221"/>
      <c r="Z244" s="223"/>
      <c r="AA244" s="221"/>
      <c r="AB244" s="221"/>
      <c r="AC244" s="221"/>
      <c r="AE244" s="72" t="str">
        <f t="shared" si="16"/>
        <v/>
      </c>
      <c r="AF244" s="226"/>
      <c r="AG244" s="226"/>
      <c r="AH244" s="226"/>
      <c r="AI244" s="227"/>
      <c r="AJ244" s="72" t="str">
        <f t="shared" si="14"/>
        <v/>
      </c>
      <c r="AK244" s="226"/>
      <c r="AL244" s="227"/>
      <c r="AM244" s="72" t="str">
        <f t="shared" si="15"/>
        <v/>
      </c>
      <c r="AN244" s="228"/>
    </row>
    <row r="245" spans="2:40">
      <c r="B245" s="62" t="str">
        <f t="shared" si="13"/>
        <v/>
      </c>
      <c r="C245" s="221"/>
      <c r="D245" s="221"/>
      <c r="E245" s="221"/>
      <c r="F245" s="221"/>
      <c r="G245" s="222"/>
      <c r="H245" s="223"/>
      <c r="I245" s="221"/>
      <c r="J245" s="221"/>
      <c r="K245" s="221"/>
      <c r="L245" s="221"/>
      <c r="M245" s="221"/>
      <c r="N245" s="221"/>
      <c r="O245" s="221"/>
      <c r="P245" s="221"/>
      <c r="Q245" s="221"/>
      <c r="R245" s="221"/>
      <c r="S245" s="221"/>
      <c r="T245" s="221"/>
      <c r="U245" s="221"/>
      <c r="V245" s="221"/>
      <c r="W245" s="221"/>
      <c r="X245" s="221"/>
      <c r="Y245" s="221"/>
      <c r="Z245" s="223"/>
      <c r="AA245" s="221"/>
      <c r="AB245" s="221"/>
      <c r="AC245" s="221"/>
      <c r="AE245" s="72" t="str">
        <f t="shared" si="16"/>
        <v/>
      </c>
      <c r="AF245" s="226"/>
      <c r="AG245" s="226"/>
      <c r="AH245" s="226"/>
      <c r="AI245" s="227"/>
      <c r="AJ245" s="72" t="str">
        <f t="shared" si="14"/>
        <v/>
      </c>
      <c r="AK245" s="226"/>
      <c r="AL245" s="227"/>
      <c r="AM245" s="72" t="str">
        <f t="shared" si="15"/>
        <v/>
      </c>
      <c r="AN245" s="228"/>
    </row>
    <row r="246" spans="2:40">
      <c r="B246" s="62" t="str">
        <f t="shared" si="13"/>
        <v/>
      </c>
      <c r="C246" s="221"/>
      <c r="D246" s="221"/>
      <c r="E246" s="221"/>
      <c r="F246" s="221"/>
      <c r="G246" s="222"/>
      <c r="H246" s="223"/>
      <c r="I246" s="221"/>
      <c r="J246" s="221"/>
      <c r="K246" s="221"/>
      <c r="L246" s="221"/>
      <c r="M246" s="221"/>
      <c r="N246" s="221"/>
      <c r="O246" s="221"/>
      <c r="P246" s="221"/>
      <c r="Q246" s="221"/>
      <c r="R246" s="221"/>
      <c r="S246" s="221"/>
      <c r="T246" s="221"/>
      <c r="U246" s="221"/>
      <c r="V246" s="221"/>
      <c r="W246" s="221"/>
      <c r="X246" s="221"/>
      <c r="Y246" s="221"/>
      <c r="Z246" s="223"/>
      <c r="AA246" s="221"/>
      <c r="AB246" s="221"/>
      <c r="AC246" s="221"/>
      <c r="AE246" s="72" t="str">
        <f t="shared" si="16"/>
        <v/>
      </c>
      <c r="AF246" s="226"/>
      <c r="AG246" s="226"/>
      <c r="AH246" s="226"/>
      <c r="AI246" s="227"/>
      <c r="AJ246" s="72" t="str">
        <f t="shared" si="14"/>
        <v/>
      </c>
      <c r="AK246" s="226"/>
      <c r="AL246" s="227"/>
      <c r="AM246" s="72" t="str">
        <f t="shared" si="15"/>
        <v/>
      </c>
      <c r="AN246" s="228"/>
    </row>
    <row r="247" spans="2:40">
      <c r="B247" s="62" t="str">
        <f t="shared" si="13"/>
        <v/>
      </c>
      <c r="C247" s="221"/>
      <c r="D247" s="221"/>
      <c r="E247" s="221"/>
      <c r="F247" s="221"/>
      <c r="G247" s="222"/>
      <c r="H247" s="223"/>
      <c r="I247" s="221"/>
      <c r="J247" s="221"/>
      <c r="K247" s="221"/>
      <c r="L247" s="221"/>
      <c r="M247" s="221"/>
      <c r="N247" s="221"/>
      <c r="O247" s="221"/>
      <c r="P247" s="221"/>
      <c r="Q247" s="221"/>
      <c r="R247" s="221"/>
      <c r="S247" s="221"/>
      <c r="T247" s="221"/>
      <c r="U247" s="221"/>
      <c r="V247" s="221"/>
      <c r="W247" s="221"/>
      <c r="X247" s="221"/>
      <c r="Y247" s="221"/>
      <c r="Z247" s="223"/>
      <c r="AA247" s="221"/>
      <c r="AB247" s="221"/>
      <c r="AC247" s="221"/>
      <c r="AE247" s="72" t="str">
        <f t="shared" si="16"/>
        <v/>
      </c>
      <c r="AF247" s="226"/>
      <c r="AG247" s="226"/>
      <c r="AH247" s="226"/>
      <c r="AI247" s="227"/>
      <c r="AJ247" s="72" t="str">
        <f t="shared" si="14"/>
        <v/>
      </c>
      <c r="AK247" s="226"/>
      <c r="AL247" s="227"/>
      <c r="AM247" s="72" t="str">
        <f t="shared" si="15"/>
        <v/>
      </c>
      <c r="AN247" s="228"/>
    </row>
    <row r="248" spans="2:40">
      <c r="B248" s="62" t="str">
        <f t="shared" si="13"/>
        <v/>
      </c>
      <c r="C248" s="221"/>
      <c r="D248" s="221"/>
      <c r="E248" s="221"/>
      <c r="F248" s="221"/>
      <c r="G248" s="222"/>
      <c r="H248" s="223"/>
      <c r="I248" s="221"/>
      <c r="J248" s="221"/>
      <c r="K248" s="221"/>
      <c r="L248" s="221"/>
      <c r="M248" s="221"/>
      <c r="N248" s="221"/>
      <c r="O248" s="221"/>
      <c r="P248" s="221"/>
      <c r="Q248" s="221"/>
      <c r="R248" s="221"/>
      <c r="S248" s="221"/>
      <c r="T248" s="221"/>
      <c r="U248" s="221"/>
      <c r="V248" s="221"/>
      <c r="W248" s="221"/>
      <c r="X248" s="221"/>
      <c r="Y248" s="221"/>
      <c r="Z248" s="223"/>
      <c r="AA248" s="221"/>
      <c r="AB248" s="221"/>
      <c r="AC248" s="221"/>
      <c r="AE248" s="72" t="str">
        <f t="shared" si="16"/>
        <v/>
      </c>
      <c r="AF248" s="226"/>
      <c r="AG248" s="226"/>
      <c r="AH248" s="226"/>
      <c r="AI248" s="227"/>
      <c r="AJ248" s="72" t="str">
        <f t="shared" si="14"/>
        <v/>
      </c>
      <c r="AK248" s="226"/>
      <c r="AL248" s="227"/>
      <c r="AM248" s="72" t="str">
        <f t="shared" si="15"/>
        <v/>
      </c>
      <c r="AN248" s="228"/>
    </row>
    <row r="249" spans="2:40">
      <c r="B249" s="62" t="str">
        <f t="shared" si="13"/>
        <v/>
      </c>
      <c r="C249" s="221"/>
      <c r="D249" s="221"/>
      <c r="E249" s="221"/>
      <c r="F249" s="221"/>
      <c r="G249" s="222"/>
      <c r="H249" s="223"/>
      <c r="I249" s="221"/>
      <c r="J249" s="221"/>
      <c r="K249" s="221"/>
      <c r="L249" s="221"/>
      <c r="M249" s="221"/>
      <c r="N249" s="221"/>
      <c r="O249" s="221"/>
      <c r="P249" s="221"/>
      <c r="Q249" s="221"/>
      <c r="R249" s="221"/>
      <c r="S249" s="221"/>
      <c r="T249" s="221"/>
      <c r="U249" s="221"/>
      <c r="V249" s="221"/>
      <c r="W249" s="221"/>
      <c r="X249" s="221"/>
      <c r="Y249" s="221"/>
      <c r="Z249" s="223"/>
      <c r="AA249" s="221"/>
      <c r="AB249" s="221"/>
      <c r="AC249" s="221"/>
      <c r="AE249" s="72" t="str">
        <f t="shared" si="16"/>
        <v/>
      </c>
      <c r="AF249" s="226"/>
      <c r="AG249" s="226"/>
      <c r="AH249" s="226"/>
      <c r="AI249" s="227"/>
      <c r="AJ249" s="72" t="str">
        <f t="shared" si="14"/>
        <v/>
      </c>
      <c r="AK249" s="226"/>
      <c r="AL249" s="227"/>
      <c r="AM249" s="72" t="str">
        <f t="shared" si="15"/>
        <v/>
      </c>
      <c r="AN249" s="228"/>
    </row>
    <row r="250" spans="2:40">
      <c r="B250" s="62" t="str">
        <f t="shared" si="13"/>
        <v/>
      </c>
      <c r="C250" s="221"/>
      <c r="D250" s="221"/>
      <c r="E250" s="221"/>
      <c r="F250" s="221"/>
      <c r="G250" s="222"/>
      <c r="H250" s="223"/>
      <c r="I250" s="221"/>
      <c r="J250" s="221"/>
      <c r="K250" s="221"/>
      <c r="L250" s="221"/>
      <c r="M250" s="221"/>
      <c r="N250" s="221"/>
      <c r="O250" s="221"/>
      <c r="P250" s="221"/>
      <c r="Q250" s="221"/>
      <c r="R250" s="221"/>
      <c r="S250" s="221"/>
      <c r="T250" s="221"/>
      <c r="U250" s="221"/>
      <c r="V250" s="221"/>
      <c r="W250" s="221"/>
      <c r="X250" s="221"/>
      <c r="Y250" s="221"/>
      <c r="Z250" s="223"/>
      <c r="AA250" s="221"/>
      <c r="AB250" s="221"/>
      <c r="AC250" s="221"/>
      <c r="AE250" s="72" t="str">
        <f t="shared" si="16"/>
        <v/>
      </c>
      <c r="AF250" s="226"/>
      <c r="AG250" s="226"/>
      <c r="AH250" s="226"/>
      <c r="AI250" s="227"/>
      <c r="AJ250" s="72" t="str">
        <f t="shared" si="14"/>
        <v/>
      </c>
      <c r="AK250" s="226"/>
      <c r="AL250" s="227"/>
      <c r="AM250" s="72" t="str">
        <f t="shared" si="15"/>
        <v/>
      </c>
      <c r="AN250" s="228"/>
    </row>
    <row r="251" spans="2:40">
      <c r="B251" s="62" t="str">
        <f t="shared" si="13"/>
        <v/>
      </c>
      <c r="C251" s="221"/>
      <c r="D251" s="221"/>
      <c r="E251" s="221"/>
      <c r="F251" s="221"/>
      <c r="G251" s="222"/>
      <c r="H251" s="223"/>
      <c r="I251" s="221"/>
      <c r="J251" s="221"/>
      <c r="K251" s="221"/>
      <c r="L251" s="221"/>
      <c r="M251" s="221"/>
      <c r="N251" s="221"/>
      <c r="O251" s="221"/>
      <c r="P251" s="221"/>
      <c r="Q251" s="221"/>
      <c r="R251" s="221"/>
      <c r="S251" s="221"/>
      <c r="T251" s="221"/>
      <c r="U251" s="221"/>
      <c r="V251" s="221"/>
      <c r="W251" s="221"/>
      <c r="X251" s="221"/>
      <c r="Y251" s="221"/>
      <c r="Z251" s="223"/>
      <c r="AA251" s="221"/>
      <c r="AB251" s="221"/>
      <c r="AC251" s="221"/>
      <c r="AE251" s="72" t="str">
        <f t="shared" si="16"/>
        <v/>
      </c>
      <c r="AF251" s="226"/>
      <c r="AG251" s="226"/>
      <c r="AH251" s="226"/>
      <c r="AI251" s="227"/>
      <c r="AJ251" s="72" t="str">
        <f t="shared" si="14"/>
        <v/>
      </c>
      <c r="AK251" s="226"/>
      <c r="AL251" s="227"/>
      <c r="AM251" s="72" t="str">
        <f t="shared" si="15"/>
        <v/>
      </c>
      <c r="AN251" s="228"/>
    </row>
    <row r="252" spans="2:40">
      <c r="B252" s="62" t="str">
        <f t="shared" si="13"/>
        <v/>
      </c>
      <c r="C252" s="221"/>
      <c r="D252" s="221"/>
      <c r="E252" s="221"/>
      <c r="F252" s="221"/>
      <c r="G252" s="222"/>
      <c r="H252" s="223"/>
      <c r="I252" s="221"/>
      <c r="J252" s="221"/>
      <c r="K252" s="221"/>
      <c r="L252" s="221"/>
      <c r="M252" s="221"/>
      <c r="N252" s="221"/>
      <c r="O252" s="221"/>
      <c r="P252" s="221"/>
      <c r="Q252" s="221"/>
      <c r="R252" s="221"/>
      <c r="S252" s="221"/>
      <c r="T252" s="221"/>
      <c r="U252" s="221"/>
      <c r="V252" s="221"/>
      <c r="W252" s="221"/>
      <c r="X252" s="221"/>
      <c r="Y252" s="221"/>
      <c r="Z252" s="223"/>
      <c r="AA252" s="221"/>
      <c r="AB252" s="221"/>
      <c r="AC252" s="221"/>
      <c r="AE252" s="72" t="str">
        <f t="shared" si="16"/>
        <v/>
      </c>
      <c r="AF252" s="226"/>
      <c r="AG252" s="226"/>
      <c r="AH252" s="226"/>
      <c r="AI252" s="227"/>
      <c r="AJ252" s="72" t="str">
        <f t="shared" si="14"/>
        <v/>
      </c>
      <c r="AK252" s="226"/>
      <c r="AL252" s="227"/>
      <c r="AM252" s="72" t="str">
        <f t="shared" si="15"/>
        <v/>
      </c>
      <c r="AN252" s="228"/>
    </row>
    <row r="253" spans="2:40">
      <c r="B253" s="62" t="str">
        <f t="shared" si="13"/>
        <v/>
      </c>
      <c r="C253" s="221"/>
      <c r="D253" s="221"/>
      <c r="E253" s="221"/>
      <c r="F253" s="221"/>
      <c r="G253" s="222"/>
      <c r="H253" s="223"/>
      <c r="I253" s="221"/>
      <c r="J253" s="221"/>
      <c r="K253" s="221"/>
      <c r="L253" s="221"/>
      <c r="M253" s="221"/>
      <c r="N253" s="221"/>
      <c r="O253" s="221"/>
      <c r="P253" s="221"/>
      <c r="Q253" s="221"/>
      <c r="R253" s="221"/>
      <c r="S253" s="221"/>
      <c r="T253" s="221"/>
      <c r="U253" s="221"/>
      <c r="V253" s="221"/>
      <c r="W253" s="221"/>
      <c r="X253" s="221"/>
      <c r="Y253" s="221"/>
      <c r="Z253" s="223"/>
      <c r="AA253" s="221"/>
      <c r="AB253" s="221"/>
      <c r="AC253" s="221"/>
      <c r="AE253" s="72" t="str">
        <f t="shared" si="16"/>
        <v/>
      </c>
      <c r="AF253" s="226"/>
      <c r="AG253" s="226"/>
      <c r="AH253" s="226"/>
      <c r="AI253" s="227"/>
      <c r="AJ253" s="72" t="str">
        <f t="shared" si="14"/>
        <v/>
      </c>
      <c r="AK253" s="226"/>
      <c r="AL253" s="227"/>
      <c r="AM253" s="72" t="str">
        <f t="shared" si="15"/>
        <v/>
      </c>
      <c r="AN253" s="228"/>
    </row>
    <row r="254" spans="2:40">
      <c r="B254" s="62" t="str">
        <f t="shared" si="13"/>
        <v/>
      </c>
      <c r="C254" s="221"/>
      <c r="D254" s="221"/>
      <c r="E254" s="221"/>
      <c r="F254" s="221"/>
      <c r="G254" s="222"/>
      <c r="H254" s="223"/>
      <c r="I254" s="221"/>
      <c r="J254" s="221"/>
      <c r="K254" s="221"/>
      <c r="L254" s="221"/>
      <c r="M254" s="221"/>
      <c r="N254" s="221"/>
      <c r="O254" s="221"/>
      <c r="P254" s="221"/>
      <c r="Q254" s="221"/>
      <c r="R254" s="221"/>
      <c r="S254" s="221"/>
      <c r="T254" s="221"/>
      <c r="U254" s="221"/>
      <c r="V254" s="221"/>
      <c r="W254" s="221"/>
      <c r="X254" s="221"/>
      <c r="Y254" s="221"/>
      <c r="Z254" s="223"/>
      <c r="AA254" s="221"/>
      <c r="AB254" s="221"/>
      <c r="AC254" s="221"/>
      <c r="AE254" s="72" t="str">
        <f t="shared" si="16"/>
        <v/>
      </c>
      <c r="AF254" s="226"/>
      <c r="AG254" s="226"/>
      <c r="AH254" s="226"/>
      <c r="AI254" s="227"/>
      <c r="AJ254" s="72" t="str">
        <f t="shared" si="14"/>
        <v/>
      </c>
      <c r="AK254" s="226"/>
      <c r="AL254" s="227"/>
      <c r="AM254" s="72" t="str">
        <f t="shared" si="15"/>
        <v/>
      </c>
      <c r="AN254" s="228"/>
    </row>
    <row r="255" spans="2:40">
      <c r="B255" s="62" t="str">
        <f t="shared" si="13"/>
        <v/>
      </c>
      <c r="C255" s="221"/>
      <c r="D255" s="221"/>
      <c r="E255" s="221"/>
      <c r="F255" s="221"/>
      <c r="G255" s="222"/>
      <c r="H255" s="223"/>
      <c r="I255" s="221"/>
      <c r="J255" s="221"/>
      <c r="K255" s="221"/>
      <c r="L255" s="221"/>
      <c r="M255" s="221"/>
      <c r="N255" s="221"/>
      <c r="O255" s="221"/>
      <c r="P255" s="221"/>
      <c r="Q255" s="221"/>
      <c r="R255" s="221"/>
      <c r="S255" s="221"/>
      <c r="T255" s="221"/>
      <c r="U255" s="221"/>
      <c r="V255" s="221"/>
      <c r="W255" s="221"/>
      <c r="X255" s="221"/>
      <c r="Y255" s="221"/>
      <c r="Z255" s="223"/>
      <c r="AA255" s="221"/>
      <c r="AB255" s="221"/>
      <c r="AC255" s="221"/>
      <c r="AE255" s="72" t="str">
        <f t="shared" si="16"/>
        <v/>
      </c>
      <c r="AF255" s="226"/>
      <c r="AG255" s="226"/>
      <c r="AH255" s="226"/>
      <c r="AI255" s="227"/>
      <c r="AJ255" s="72" t="str">
        <f t="shared" si="14"/>
        <v/>
      </c>
      <c r="AK255" s="226"/>
      <c r="AL255" s="227"/>
      <c r="AM255" s="72" t="str">
        <f t="shared" si="15"/>
        <v/>
      </c>
      <c r="AN255" s="228"/>
    </row>
    <row r="256" spans="2:40">
      <c r="B256" s="62" t="str">
        <f t="shared" si="13"/>
        <v/>
      </c>
      <c r="C256" s="221"/>
      <c r="D256" s="221"/>
      <c r="E256" s="221"/>
      <c r="F256" s="221"/>
      <c r="G256" s="222"/>
      <c r="H256" s="223"/>
      <c r="I256" s="221"/>
      <c r="J256" s="221"/>
      <c r="K256" s="221"/>
      <c r="L256" s="221"/>
      <c r="M256" s="221"/>
      <c r="N256" s="221"/>
      <c r="O256" s="221"/>
      <c r="P256" s="221"/>
      <c r="Q256" s="221"/>
      <c r="R256" s="221"/>
      <c r="S256" s="221"/>
      <c r="T256" s="221"/>
      <c r="U256" s="221"/>
      <c r="V256" s="221"/>
      <c r="W256" s="221"/>
      <c r="X256" s="221"/>
      <c r="Y256" s="221"/>
      <c r="Z256" s="223"/>
      <c r="AA256" s="221"/>
      <c r="AB256" s="221"/>
      <c r="AC256" s="221"/>
      <c r="AE256" s="72" t="str">
        <f t="shared" si="16"/>
        <v/>
      </c>
      <c r="AF256" s="226"/>
      <c r="AG256" s="226"/>
      <c r="AH256" s="226"/>
      <c r="AI256" s="227"/>
      <c r="AJ256" s="72" t="str">
        <f t="shared" si="14"/>
        <v/>
      </c>
      <c r="AK256" s="226"/>
      <c r="AL256" s="227"/>
      <c r="AM256" s="72" t="str">
        <f t="shared" si="15"/>
        <v/>
      </c>
      <c r="AN256" s="228"/>
    </row>
    <row r="257" spans="2:40">
      <c r="B257" s="62" t="str">
        <f t="shared" si="13"/>
        <v/>
      </c>
      <c r="C257" s="221"/>
      <c r="D257" s="221"/>
      <c r="E257" s="221"/>
      <c r="F257" s="221"/>
      <c r="G257" s="222"/>
      <c r="H257" s="223"/>
      <c r="I257" s="221"/>
      <c r="J257" s="221"/>
      <c r="K257" s="221"/>
      <c r="L257" s="221"/>
      <c r="M257" s="221"/>
      <c r="N257" s="221"/>
      <c r="O257" s="221"/>
      <c r="P257" s="221"/>
      <c r="Q257" s="221"/>
      <c r="R257" s="221"/>
      <c r="S257" s="221"/>
      <c r="T257" s="221"/>
      <c r="U257" s="221"/>
      <c r="V257" s="221"/>
      <c r="W257" s="221"/>
      <c r="X257" s="221"/>
      <c r="Y257" s="221"/>
      <c r="Z257" s="223"/>
      <c r="AA257" s="221"/>
      <c r="AB257" s="221"/>
      <c r="AC257" s="221"/>
      <c r="AE257" s="72" t="str">
        <f t="shared" si="16"/>
        <v/>
      </c>
      <c r="AF257" s="226"/>
      <c r="AG257" s="226"/>
      <c r="AH257" s="226"/>
      <c r="AI257" s="227"/>
      <c r="AJ257" s="72" t="str">
        <f t="shared" si="14"/>
        <v/>
      </c>
      <c r="AK257" s="226"/>
      <c r="AL257" s="227"/>
      <c r="AM257" s="72" t="str">
        <f t="shared" si="15"/>
        <v/>
      </c>
      <c r="AN257" s="228"/>
    </row>
    <row r="258" spans="2:40">
      <c r="B258" s="62" t="str">
        <f t="shared" si="13"/>
        <v/>
      </c>
      <c r="C258" s="221"/>
      <c r="D258" s="221"/>
      <c r="E258" s="221"/>
      <c r="F258" s="221"/>
      <c r="G258" s="222"/>
      <c r="H258" s="223"/>
      <c r="I258" s="221"/>
      <c r="J258" s="221"/>
      <c r="K258" s="221"/>
      <c r="L258" s="221"/>
      <c r="M258" s="221"/>
      <c r="N258" s="221"/>
      <c r="O258" s="221"/>
      <c r="P258" s="221"/>
      <c r="Q258" s="221"/>
      <c r="R258" s="221"/>
      <c r="S258" s="221"/>
      <c r="T258" s="221"/>
      <c r="U258" s="221"/>
      <c r="V258" s="221"/>
      <c r="W258" s="221"/>
      <c r="X258" s="221"/>
      <c r="Y258" s="221"/>
      <c r="Z258" s="223"/>
      <c r="AA258" s="221"/>
      <c r="AB258" s="221"/>
      <c r="AC258" s="221"/>
      <c r="AE258" s="72" t="str">
        <f t="shared" si="16"/>
        <v/>
      </c>
      <c r="AF258" s="226"/>
      <c r="AG258" s="226"/>
      <c r="AH258" s="226"/>
      <c r="AI258" s="227"/>
      <c r="AJ258" s="72" t="str">
        <f t="shared" si="14"/>
        <v/>
      </c>
      <c r="AK258" s="226"/>
      <c r="AL258" s="227"/>
      <c r="AM258" s="72" t="str">
        <f t="shared" si="15"/>
        <v/>
      </c>
      <c r="AN258" s="228"/>
    </row>
    <row r="259" spans="2:40">
      <c r="B259" s="62" t="str">
        <f t="shared" si="13"/>
        <v/>
      </c>
      <c r="C259" s="221"/>
      <c r="D259" s="221"/>
      <c r="E259" s="221"/>
      <c r="F259" s="221"/>
      <c r="G259" s="222"/>
      <c r="H259" s="223"/>
      <c r="I259" s="221"/>
      <c r="J259" s="221"/>
      <c r="K259" s="221"/>
      <c r="L259" s="221"/>
      <c r="M259" s="221"/>
      <c r="N259" s="221"/>
      <c r="O259" s="221"/>
      <c r="P259" s="221"/>
      <c r="Q259" s="221"/>
      <c r="R259" s="221"/>
      <c r="S259" s="221"/>
      <c r="T259" s="221"/>
      <c r="U259" s="221"/>
      <c r="V259" s="221"/>
      <c r="W259" s="221"/>
      <c r="X259" s="221"/>
      <c r="Y259" s="221"/>
      <c r="Z259" s="223"/>
      <c r="AA259" s="221"/>
      <c r="AB259" s="221"/>
      <c r="AC259" s="221"/>
      <c r="AE259" s="72" t="str">
        <f t="shared" si="16"/>
        <v/>
      </c>
      <c r="AF259" s="226"/>
      <c r="AG259" s="226"/>
      <c r="AH259" s="226"/>
      <c r="AI259" s="227"/>
      <c r="AJ259" s="72" t="str">
        <f t="shared" si="14"/>
        <v/>
      </c>
      <c r="AK259" s="226"/>
      <c r="AL259" s="227"/>
      <c r="AM259" s="72" t="str">
        <f t="shared" si="15"/>
        <v/>
      </c>
      <c r="AN259" s="228"/>
    </row>
    <row r="260" spans="2:40">
      <c r="B260" s="62" t="str">
        <f t="shared" si="13"/>
        <v/>
      </c>
      <c r="C260" s="221"/>
      <c r="D260" s="221"/>
      <c r="E260" s="221"/>
      <c r="F260" s="221"/>
      <c r="G260" s="222"/>
      <c r="H260" s="223"/>
      <c r="I260" s="221"/>
      <c r="J260" s="221"/>
      <c r="K260" s="221"/>
      <c r="L260" s="221"/>
      <c r="M260" s="221"/>
      <c r="N260" s="221"/>
      <c r="O260" s="221"/>
      <c r="P260" s="221"/>
      <c r="Q260" s="221"/>
      <c r="R260" s="221"/>
      <c r="S260" s="221"/>
      <c r="T260" s="221"/>
      <c r="U260" s="221"/>
      <c r="V260" s="221"/>
      <c r="W260" s="221"/>
      <c r="X260" s="221"/>
      <c r="Y260" s="221"/>
      <c r="Z260" s="223"/>
      <c r="AA260" s="221"/>
      <c r="AB260" s="221"/>
      <c r="AC260" s="221"/>
      <c r="AE260" s="72" t="str">
        <f t="shared" si="16"/>
        <v/>
      </c>
      <c r="AF260" s="226"/>
      <c r="AG260" s="226"/>
      <c r="AH260" s="226"/>
      <c r="AI260" s="227"/>
      <c r="AJ260" s="72" t="str">
        <f t="shared" si="14"/>
        <v/>
      </c>
      <c r="AK260" s="226"/>
      <c r="AL260" s="227"/>
      <c r="AM260" s="72" t="str">
        <f t="shared" si="15"/>
        <v/>
      </c>
      <c r="AN260" s="228"/>
    </row>
    <row r="261" spans="2:40">
      <c r="B261" s="62" t="str">
        <f t="shared" si="13"/>
        <v/>
      </c>
      <c r="C261" s="221"/>
      <c r="D261" s="221"/>
      <c r="E261" s="221"/>
      <c r="F261" s="221"/>
      <c r="G261" s="222"/>
      <c r="H261" s="223"/>
      <c r="I261" s="221"/>
      <c r="J261" s="221"/>
      <c r="K261" s="221"/>
      <c r="L261" s="221"/>
      <c r="M261" s="221"/>
      <c r="N261" s="221"/>
      <c r="O261" s="221"/>
      <c r="P261" s="221"/>
      <c r="Q261" s="221"/>
      <c r="R261" s="221"/>
      <c r="S261" s="221"/>
      <c r="T261" s="221"/>
      <c r="U261" s="221"/>
      <c r="V261" s="221"/>
      <c r="W261" s="221"/>
      <c r="X261" s="221"/>
      <c r="Y261" s="221"/>
      <c r="Z261" s="223"/>
      <c r="AA261" s="221"/>
      <c r="AB261" s="221"/>
      <c r="AC261" s="221"/>
      <c r="AE261" s="72" t="str">
        <f t="shared" si="16"/>
        <v/>
      </c>
      <c r="AF261" s="226"/>
      <c r="AG261" s="226"/>
      <c r="AH261" s="226"/>
      <c r="AI261" s="227"/>
      <c r="AJ261" s="72" t="str">
        <f t="shared" si="14"/>
        <v/>
      </c>
      <c r="AK261" s="226"/>
      <c r="AL261" s="227"/>
      <c r="AM261" s="72" t="str">
        <f t="shared" si="15"/>
        <v/>
      </c>
      <c r="AN261" s="228"/>
    </row>
    <row r="262" spans="2:40">
      <c r="B262" s="62" t="str">
        <f t="shared" ref="B262:B266" si="17">LEFT(C262,3)</f>
        <v/>
      </c>
      <c r="C262" s="221"/>
      <c r="D262" s="221"/>
      <c r="E262" s="221"/>
      <c r="F262" s="221"/>
      <c r="G262" s="222"/>
      <c r="H262" s="223"/>
      <c r="I262" s="221"/>
      <c r="J262" s="221"/>
      <c r="K262" s="221"/>
      <c r="L262" s="221"/>
      <c r="M262" s="221"/>
      <c r="N262" s="221"/>
      <c r="O262" s="221"/>
      <c r="P262" s="221"/>
      <c r="Q262" s="221"/>
      <c r="R262" s="221"/>
      <c r="S262" s="221"/>
      <c r="T262" s="221"/>
      <c r="U262" s="221"/>
      <c r="V262" s="221"/>
      <c r="W262" s="221"/>
      <c r="X262" s="221"/>
      <c r="Y262" s="221"/>
      <c r="Z262" s="223"/>
      <c r="AA262" s="221"/>
      <c r="AB262" s="221"/>
      <c r="AC262" s="221"/>
      <c r="AE262" s="72" t="str">
        <f t="shared" si="16"/>
        <v/>
      </c>
      <c r="AF262" s="226"/>
      <c r="AG262" s="226"/>
      <c r="AH262" s="226"/>
      <c r="AI262" s="227"/>
      <c r="AJ262" s="72" t="str">
        <f t="shared" ref="AJ262:AJ266" si="18">AE262</f>
        <v/>
      </c>
      <c r="AK262" s="226"/>
      <c r="AL262" s="227"/>
      <c r="AM262" s="72" t="str">
        <f t="shared" ref="AM262:AM266" si="19">AE262</f>
        <v/>
      </c>
      <c r="AN262" s="228"/>
    </row>
    <row r="263" spans="2:40">
      <c r="B263" s="62" t="str">
        <f t="shared" si="17"/>
        <v/>
      </c>
      <c r="C263" s="221"/>
      <c r="D263" s="221"/>
      <c r="E263" s="221"/>
      <c r="F263" s="221"/>
      <c r="G263" s="222"/>
      <c r="H263" s="223"/>
      <c r="I263" s="221"/>
      <c r="J263" s="221"/>
      <c r="K263" s="221"/>
      <c r="L263" s="221"/>
      <c r="M263" s="221"/>
      <c r="N263" s="221"/>
      <c r="O263" s="221"/>
      <c r="P263" s="221"/>
      <c r="Q263" s="221"/>
      <c r="R263" s="221"/>
      <c r="S263" s="221"/>
      <c r="T263" s="221"/>
      <c r="U263" s="221"/>
      <c r="V263" s="221"/>
      <c r="W263" s="221"/>
      <c r="X263" s="221"/>
      <c r="Y263" s="221"/>
      <c r="Z263" s="223"/>
      <c r="AA263" s="221"/>
      <c r="AB263" s="221"/>
      <c r="AC263" s="221"/>
      <c r="AE263" s="72" t="str">
        <f t="shared" ref="AE263:AE266" si="20">IF(C263="","",C263)</f>
        <v/>
      </c>
      <c r="AF263" s="226"/>
      <c r="AG263" s="226"/>
      <c r="AH263" s="226"/>
      <c r="AI263" s="227"/>
      <c r="AJ263" s="72" t="str">
        <f t="shared" si="18"/>
        <v/>
      </c>
      <c r="AK263" s="226"/>
      <c r="AL263" s="227"/>
      <c r="AM263" s="72" t="str">
        <f t="shared" si="19"/>
        <v/>
      </c>
      <c r="AN263" s="228"/>
    </row>
    <row r="264" spans="2:40">
      <c r="B264" s="62" t="str">
        <f t="shared" si="17"/>
        <v/>
      </c>
      <c r="C264" s="221"/>
      <c r="D264" s="221"/>
      <c r="E264" s="221"/>
      <c r="F264" s="221"/>
      <c r="G264" s="222"/>
      <c r="H264" s="223"/>
      <c r="I264" s="221"/>
      <c r="J264" s="221"/>
      <c r="K264" s="221"/>
      <c r="L264" s="221"/>
      <c r="M264" s="221"/>
      <c r="N264" s="221"/>
      <c r="O264" s="221"/>
      <c r="P264" s="221"/>
      <c r="Q264" s="221"/>
      <c r="R264" s="221"/>
      <c r="S264" s="221"/>
      <c r="T264" s="221"/>
      <c r="U264" s="221"/>
      <c r="V264" s="221"/>
      <c r="W264" s="221"/>
      <c r="X264" s="221"/>
      <c r="Y264" s="221"/>
      <c r="Z264" s="223"/>
      <c r="AA264" s="221"/>
      <c r="AB264" s="221"/>
      <c r="AC264" s="221"/>
      <c r="AE264" s="72" t="str">
        <f t="shared" si="20"/>
        <v/>
      </c>
      <c r="AF264" s="226"/>
      <c r="AG264" s="226"/>
      <c r="AH264" s="226"/>
      <c r="AI264" s="227"/>
      <c r="AJ264" s="72" t="str">
        <f t="shared" si="18"/>
        <v/>
      </c>
      <c r="AK264" s="226"/>
      <c r="AL264" s="227"/>
      <c r="AM264" s="72" t="str">
        <f t="shared" si="19"/>
        <v/>
      </c>
      <c r="AN264" s="228"/>
    </row>
    <row r="265" spans="2:40">
      <c r="B265" s="62" t="str">
        <f t="shared" si="17"/>
        <v/>
      </c>
      <c r="C265" s="221"/>
      <c r="D265" s="221"/>
      <c r="E265" s="221"/>
      <c r="F265" s="221"/>
      <c r="G265" s="222"/>
      <c r="H265" s="223"/>
      <c r="I265" s="221"/>
      <c r="J265" s="221"/>
      <c r="K265" s="221"/>
      <c r="L265" s="221"/>
      <c r="M265" s="221"/>
      <c r="N265" s="221"/>
      <c r="O265" s="221"/>
      <c r="P265" s="221"/>
      <c r="Q265" s="221"/>
      <c r="R265" s="221"/>
      <c r="S265" s="221"/>
      <c r="T265" s="221"/>
      <c r="U265" s="221"/>
      <c r="V265" s="221"/>
      <c r="W265" s="221"/>
      <c r="X265" s="221"/>
      <c r="Y265" s="221"/>
      <c r="Z265" s="223"/>
      <c r="AA265" s="221"/>
      <c r="AB265" s="221"/>
      <c r="AC265" s="221"/>
      <c r="AE265" s="72" t="str">
        <f t="shared" si="20"/>
        <v/>
      </c>
      <c r="AF265" s="226"/>
      <c r="AG265" s="226"/>
      <c r="AH265" s="226"/>
      <c r="AI265" s="227"/>
      <c r="AJ265" s="72" t="str">
        <f t="shared" si="18"/>
        <v/>
      </c>
      <c r="AK265" s="226"/>
      <c r="AL265" s="227"/>
      <c r="AM265" s="72" t="str">
        <f t="shared" si="19"/>
        <v/>
      </c>
      <c r="AN265" s="228"/>
    </row>
    <row r="266" spans="2:40">
      <c r="B266" s="62" t="str">
        <f t="shared" si="17"/>
        <v/>
      </c>
      <c r="C266" s="221"/>
      <c r="D266" s="221"/>
      <c r="E266" s="221"/>
      <c r="F266" s="221"/>
      <c r="G266" s="222"/>
      <c r="H266" s="223"/>
      <c r="I266" s="221"/>
      <c r="J266" s="221"/>
      <c r="K266" s="221"/>
      <c r="L266" s="221"/>
      <c r="M266" s="221"/>
      <c r="N266" s="221"/>
      <c r="O266" s="221"/>
      <c r="P266" s="221"/>
      <c r="Q266" s="221"/>
      <c r="R266" s="221"/>
      <c r="S266" s="221"/>
      <c r="T266" s="221"/>
      <c r="U266" s="221"/>
      <c r="V266" s="221"/>
      <c r="W266" s="221"/>
      <c r="X266" s="221"/>
      <c r="Y266" s="221"/>
      <c r="Z266" s="223"/>
      <c r="AA266" s="221"/>
      <c r="AB266" s="221"/>
      <c r="AC266" s="221"/>
      <c r="AE266" s="72" t="str">
        <f t="shared" si="20"/>
        <v/>
      </c>
      <c r="AF266" s="226"/>
      <c r="AG266" s="226"/>
      <c r="AH266" s="226"/>
      <c r="AI266" s="227"/>
      <c r="AJ266" s="72" t="str">
        <f t="shared" si="18"/>
        <v/>
      </c>
      <c r="AK266" s="226"/>
      <c r="AL266" s="227"/>
      <c r="AM266" s="72" t="str">
        <f t="shared" si="19"/>
        <v/>
      </c>
      <c r="AN266" s="228"/>
    </row>
    <row r="799681" spans="35:40">
      <c r="AI799681" s="56" t="s">
        <v>202</v>
      </c>
      <c r="AK799681" s="56" t="s">
        <v>202</v>
      </c>
      <c r="AM799681" s="56" t="s">
        <v>203</v>
      </c>
      <c r="AN799681" s="57" t="s">
        <v>204</v>
      </c>
    </row>
  </sheetData>
  <mergeCells count="4">
    <mergeCell ref="B1:H3"/>
    <mergeCell ref="D4:F4"/>
    <mergeCell ref="AE4:AH4"/>
    <mergeCell ref="AJ4:AK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新增與查詢">
                <anchor moveWithCells="1" sizeWithCells="1">
                  <from>
                    <xdr:col>7</xdr:col>
                    <xdr:colOff>463550</xdr:colOff>
                    <xdr:row>0</xdr:row>
                    <xdr:rowOff>69850</xdr:rowOff>
                  </from>
                  <to>
                    <xdr:col>11</xdr:col>
                    <xdr:colOff>114300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9" tint="-0.249977111117893"/>
  </sheetPr>
  <dimension ref="B1:R41"/>
  <sheetViews>
    <sheetView topLeftCell="A16" workbookViewId="0">
      <selection activeCell="H33" sqref="H33"/>
    </sheetView>
  </sheetViews>
  <sheetFormatPr defaultRowHeight="17"/>
  <cols>
    <col min="1" max="1" width="3.1796875" customWidth="1"/>
    <col min="2" max="2" width="33.54296875" bestFit="1" customWidth="1"/>
    <col min="3" max="3" width="10" bestFit="1" customWidth="1"/>
    <col min="4" max="4" width="7.81640625" bestFit="1" customWidth="1"/>
    <col min="5" max="5" width="5.6328125" bestFit="1" customWidth="1"/>
    <col min="6" max="6" width="8.90625" bestFit="1" customWidth="1"/>
    <col min="7" max="7" width="10.26953125" bestFit="1" customWidth="1"/>
    <col min="8" max="8" width="10.36328125" bestFit="1" customWidth="1"/>
    <col min="9" max="18" width="10.26953125" bestFit="1" customWidth="1"/>
  </cols>
  <sheetData>
    <row r="1" spans="2:18" ht="17" customHeight="1">
      <c r="B1" s="40"/>
      <c r="C1" s="41"/>
      <c r="D1" s="41"/>
      <c r="E1" s="308" t="s">
        <v>113</v>
      </c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42"/>
    </row>
    <row r="2" spans="2:18" ht="17" customHeight="1">
      <c r="B2" s="43"/>
      <c r="C2" s="55"/>
      <c r="D2" s="55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44"/>
    </row>
    <row r="3" spans="2:18" ht="34.5" thickBot="1">
      <c r="B3" s="113" t="s">
        <v>124</v>
      </c>
      <c r="C3" s="82"/>
      <c r="D3" s="82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45"/>
    </row>
    <row r="4" spans="2:18" ht="17.5" thickBot="1">
      <c r="B4" s="311" t="s">
        <v>78</v>
      </c>
      <c r="C4" s="312"/>
      <c r="D4" s="312"/>
      <c r="E4" s="312"/>
      <c r="F4" s="312"/>
      <c r="G4" s="307" t="s">
        <v>77</v>
      </c>
      <c r="H4" s="307"/>
      <c r="I4" s="307"/>
      <c r="J4" s="307"/>
      <c r="K4" s="307"/>
      <c r="L4" s="307"/>
      <c r="M4" s="307"/>
      <c r="N4" s="307"/>
      <c r="O4" s="307"/>
      <c r="P4" s="307"/>
      <c r="Q4" s="307"/>
      <c r="R4" s="307"/>
    </row>
    <row r="5" spans="2:18" ht="17.5" thickBot="1">
      <c r="B5" s="83" t="s">
        <v>110</v>
      </c>
      <c r="C5" s="84" t="s">
        <v>116</v>
      </c>
      <c r="D5" s="88" t="s">
        <v>123</v>
      </c>
      <c r="E5" s="114" t="s">
        <v>112</v>
      </c>
      <c r="F5" s="115" t="s">
        <v>111</v>
      </c>
      <c r="G5" s="90" t="s">
        <v>99</v>
      </c>
      <c r="H5" s="76" t="s">
        <v>241</v>
      </c>
      <c r="I5" s="76" t="s">
        <v>100</v>
      </c>
      <c r="J5" s="76" t="s">
        <v>101</v>
      </c>
      <c r="K5" s="76" t="s">
        <v>102</v>
      </c>
      <c r="L5" s="76" t="s">
        <v>103</v>
      </c>
      <c r="M5" s="76" t="s">
        <v>104</v>
      </c>
      <c r="N5" s="76" t="s">
        <v>105</v>
      </c>
      <c r="O5" s="76" t="s">
        <v>106</v>
      </c>
      <c r="P5" s="76" t="s">
        <v>107</v>
      </c>
      <c r="Q5" s="76" t="s">
        <v>108</v>
      </c>
      <c r="R5" s="76" t="s">
        <v>109</v>
      </c>
    </row>
    <row r="6" spans="2:18">
      <c r="B6" s="74" t="s">
        <v>91</v>
      </c>
      <c r="C6" s="85"/>
      <c r="D6" s="74"/>
      <c r="E6" s="94"/>
      <c r="F6" s="95" t="e">
        <f t="shared" ref="F6:F13" si="0">D6/C6</f>
        <v>#DIV/0!</v>
      </c>
      <c r="G6" s="91"/>
      <c r="H6" s="77"/>
      <c r="I6" s="77"/>
      <c r="J6" s="77"/>
      <c r="K6" s="77"/>
      <c r="L6" s="77"/>
      <c r="M6" s="77"/>
      <c r="N6" s="77"/>
      <c r="O6" s="77"/>
      <c r="P6" s="77"/>
      <c r="Q6" s="77"/>
      <c r="R6" s="78"/>
    </row>
    <row r="7" spans="2:18" ht="34">
      <c r="B7" s="75" t="s">
        <v>92</v>
      </c>
      <c r="C7" s="86"/>
      <c r="D7" s="75"/>
      <c r="E7" s="96"/>
      <c r="F7" s="95" t="e">
        <f t="shared" si="0"/>
        <v>#DIV/0!</v>
      </c>
      <c r="G7" s="92"/>
      <c r="H7" s="2"/>
      <c r="I7" s="2"/>
      <c r="J7" s="2"/>
      <c r="K7" s="2"/>
      <c r="L7" s="2"/>
      <c r="M7" s="2"/>
      <c r="N7" s="2"/>
      <c r="O7" s="2"/>
      <c r="P7" s="2"/>
      <c r="Q7" s="2"/>
      <c r="R7" s="79"/>
    </row>
    <row r="8" spans="2:18">
      <c r="B8" s="74" t="s">
        <v>93</v>
      </c>
      <c r="C8" s="85"/>
      <c r="D8" s="74"/>
      <c r="E8" s="94"/>
      <c r="F8" s="95" t="e">
        <f t="shared" si="0"/>
        <v>#DIV/0!</v>
      </c>
      <c r="G8" s="92"/>
      <c r="H8" s="2"/>
      <c r="I8" s="2"/>
      <c r="J8" s="2"/>
      <c r="K8" s="2"/>
      <c r="L8" s="2"/>
      <c r="M8" s="2"/>
      <c r="N8" s="2"/>
      <c r="O8" s="2"/>
      <c r="P8" s="2"/>
      <c r="Q8" s="2"/>
      <c r="R8" s="79"/>
    </row>
    <row r="9" spans="2:18">
      <c r="B9" s="74" t="s">
        <v>94</v>
      </c>
      <c r="C9" s="85"/>
      <c r="D9" s="74"/>
      <c r="E9" s="94"/>
      <c r="F9" s="95" t="e">
        <f t="shared" si="0"/>
        <v>#DIV/0!</v>
      </c>
      <c r="G9" s="92"/>
      <c r="H9" s="2"/>
      <c r="I9" s="2"/>
      <c r="J9" s="2"/>
      <c r="K9" s="2"/>
      <c r="L9" s="2"/>
      <c r="M9" s="2"/>
      <c r="N9" s="2"/>
      <c r="O9" s="2"/>
      <c r="P9" s="2"/>
      <c r="Q9" s="2"/>
      <c r="R9" s="79"/>
    </row>
    <row r="10" spans="2:18">
      <c r="B10" s="74" t="s">
        <v>95</v>
      </c>
      <c r="C10" s="85"/>
      <c r="D10" s="74"/>
      <c r="E10" s="94"/>
      <c r="F10" s="95" t="e">
        <f t="shared" si="0"/>
        <v>#DIV/0!</v>
      </c>
      <c r="G10" s="92"/>
      <c r="H10" s="2"/>
      <c r="I10" s="2"/>
      <c r="J10" s="2"/>
      <c r="K10" s="2"/>
      <c r="L10" s="2"/>
      <c r="M10" s="2"/>
      <c r="N10" s="2"/>
      <c r="O10" s="2"/>
      <c r="P10" s="2"/>
      <c r="Q10" s="2"/>
      <c r="R10" s="79"/>
    </row>
    <row r="11" spans="2:18">
      <c r="B11" s="74" t="s">
        <v>96</v>
      </c>
      <c r="C11" s="85"/>
      <c r="D11" s="74"/>
      <c r="E11" s="94"/>
      <c r="F11" s="95" t="e">
        <f t="shared" si="0"/>
        <v>#DIV/0!</v>
      </c>
      <c r="G11" s="92"/>
      <c r="H11" s="2"/>
      <c r="I11" s="2"/>
      <c r="J11" s="2"/>
      <c r="K11" s="2"/>
      <c r="L11" s="2"/>
      <c r="M11" s="2"/>
      <c r="N11" s="2"/>
      <c r="O11" s="2"/>
      <c r="P11" s="2"/>
      <c r="Q11" s="2"/>
      <c r="R11" s="79"/>
    </row>
    <row r="12" spans="2:18">
      <c r="B12" s="74" t="s">
        <v>97</v>
      </c>
      <c r="C12" s="85"/>
      <c r="D12" s="74"/>
      <c r="E12" s="94"/>
      <c r="F12" s="95" t="e">
        <f t="shared" si="0"/>
        <v>#DIV/0!</v>
      </c>
      <c r="G12" s="92"/>
      <c r="H12" s="2"/>
      <c r="I12" s="2"/>
      <c r="J12" s="2"/>
      <c r="K12" s="2"/>
      <c r="L12" s="2"/>
      <c r="M12" s="2"/>
      <c r="N12" s="2"/>
      <c r="O12" s="2"/>
      <c r="P12" s="2"/>
      <c r="Q12" s="2"/>
      <c r="R12" s="79"/>
    </row>
    <row r="13" spans="2:18" ht="17.5" thickBot="1">
      <c r="B13" s="74" t="s">
        <v>98</v>
      </c>
      <c r="C13" s="87"/>
      <c r="D13" s="89"/>
      <c r="E13" s="97"/>
      <c r="F13" s="95" t="e">
        <f t="shared" si="0"/>
        <v>#DIV/0!</v>
      </c>
      <c r="G13" s="93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1"/>
    </row>
    <row r="14" spans="2:18">
      <c r="C14" s="98" t="s">
        <v>115</v>
      </c>
      <c r="D14" s="99"/>
      <c r="E14" s="102" t="s">
        <v>115</v>
      </c>
      <c r="F14" s="103"/>
      <c r="G14" s="106" t="s">
        <v>115</v>
      </c>
      <c r="H14" s="106"/>
      <c r="I14" s="106"/>
      <c r="J14" s="107"/>
    </row>
    <row r="15" spans="2:18" ht="17.5" thickBot="1">
      <c r="C15" s="100" t="s">
        <v>125</v>
      </c>
      <c r="D15" s="101"/>
      <c r="E15" s="104" t="s">
        <v>117</v>
      </c>
      <c r="F15" s="105"/>
      <c r="G15" s="108" t="s">
        <v>114</v>
      </c>
      <c r="H15" s="109"/>
      <c r="I15" s="109"/>
      <c r="J15" s="110"/>
    </row>
    <row r="16" spans="2:18">
      <c r="G16" t="e">
        <f>$F$6*G6+$F$7*G7+$F$8*G8+$F$9*G9+$F$10*G10+$F$11*G11+$F$12*G12+$F$13*G13</f>
        <v>#DIV/0!</v>
      </c>
      <c r="H16" t="e">
        <f>$F$6*H6+$F$7*H7+$F$8*H8+$F$9*H9+$F$10*H10+$F$11*H11+$F$12*H12+$F$13*H13</f>
        <v>#DIV/0!</v>
      </c>
      <c r="I16" t="e">
        <f t="shared" ref="I16:R16" si="1">$F$6*I6+$F$7*I7+$F$8*I8+$F$9*I9+$F$10*I10+$F$11*I11+$F$12*I12+$F$13*I13</f>
        <v>#DIV/0!</v>
      </c>
      <c r="J16" t="e">
        <f t="shared" si="1"/>
        <v>#DIV/0!</v>
      </c>
      <c r="K16" t="e">
        <f t="shared" si="1"/>
        <v>#DIV/0!</v>
      </c>
      <c r="L16" t="e">
        <f t="shared" si="1"/>
        <v>#DIV/0!</v>
      </c>
      <c r="M16" t="e">
        <f t="shared" si="1"/>
        <v>#DIV/0!</v>
      </c>
      <c r="N16" t="e">
        <f t="shared" si="1"/>
        <v>#DIV/0!</v>
      </c>
      <c r="O16" t="e">
        <f t="shared" si="1"/>
        <v>#DIV/0!</v>
      </c>
      <c r="P16" t="e">
        <f t="shared" si="1"/>
        <v>#DIV/0!</v>
      </c>
      <c r="Q16" t="e">
        <f t="shared" si="1"/>
        <v>#DIV/0!</v>
      </c>
      <c r="R16" t="e">
        <f t="shared" si="1"/>
        <v>#DIV/0!</v>
      </c>
    </row>
    <row r="17" spans="2:6" hidden="1"/>
    <row r="18" spans="2:6" hidden="1"/>
    <row r="19" spans="2:6" hidden="1"/>
    <row r="21" spans="2:6">
      <c r="B21" s="112" t="s">
        <v>242</v>
      </c>
      <c r="C21" s="73" t="s">
        <v>232</v>
      </c>
      <c r="D21" s="83" t="s">
        <v>123</v>
      </c>
      <c r="E21" s="73" t="s">
        <v>112</v>
      </c>
      <c r="F21" s="73" t="s">
        <v>111</v>
      </c>
    </row>
    <row r="22" spans="2:6">
      <c r="B22" s="111" t="s">
        <v>121</v>
      </c>
      <c r="C22" s="1"/>
      <c r="D22" s="1"/>
      <c r="E22" s="1"/>
      <c r="F22" s="1" t="e">
        <f>D22/C22</f>
        <v>#DIV/0!</v>
      </c>
    </row>
    <row r="23" spans="2:6">
      <c r="B23" s="111" t="s">
        <v>126</v>
      </c>
      <c r="C23" s="1"/>
      <c r="D23" s="1"/>
      <c r="E23" s="1"/>
      <c r="F23" s="1" t="e">
        <f t="shared" ref="F23:F41" si="2">D23/C23</f>
        <v>#DIV/0!</v>
      </c>
    </row>
    <row r="24" spans="2:6">
      <c r="B24" s="111" t="s">
        <v>122</v>
      </c>
      <c r="C24" s="1"/>
      <c r="D24" s="1"/>
      <c r="E24" s="1"/>
      <c r="F24" s="1" t="e">
        <f t="shared" si="2"/>
        <v>#DIV/0!</v>
      </c>
    </row>
    <row r="25" spans="2:6">
      <c r="B25" s="111" t="s">
        <v>118</v>
      </c>
      <c r="C25" s="1"/>
      <c r="D25" s="1"/>
      <c r="E25" s="1"/>
      <c r="F25" s="1" t="e">
        <f t="shared" si="2"/>
        <v>#DIV/0!</v>
      </c>
    </row>
    <row r="26" spans="2:6">
      <c r="B26" s="111" t="s">
        <v>251</v>
      </c>
      <c r="C26" s="1"/>
      <c r="D26" s="1"/>
      <c r="E26" s="1"/>
      <c r="F26" s="1" t="e">
        <f t="shared" si="2"/>
        <v>#DIV/0!</v>
      </c>
    </row>
    <row r="27" spans="2:6">
      <c r="B27" s="111" t="s">
        <v>252</v>
      </c>
      <c r="C27" s="1"/>
      <c r="D27" s="1"/>
      <c r="E27" s="1"/>
      <c r="F27" s="1" t="e">
        <f t="shared" si="2"/>
        <v>#DIV/0!</v>
      </c>
    </row>
    <row r="28" spans="2:6">
      <c r="B28" s="111" t="s">
        <v>119</v>
      </c>
      <c r="C28" s="1"/>
      <c r="D28" s="1"/>
      <c r="E28" s="1"/>
      <c r="F28" s="1" t="e">
        <f t="shared" si="2"/>
        <v>#DIV/0!</v>
      </c>
    </row>
    <row r="29" spans="2:6">
      <c r="B29" s="111" t="s">
        <v>120</v>
      </c>
      <c r="C29" s="1"/>
      <c r="D29" s="1"/>
      <c r="E29" s="1"/>
      <c r="F29" s="1" t="e">
        <f t="shared" si="2"/>
        <v>#DIV/0!</v>
      </c>
    </row>
    <row r="30" spans="2:6">
      <c r="B30" s="273" t="s">
        <v>99</v>
      </c>
      <c r="C30" s="1" t="e">
        <f>G16</f>
        <v>#DIV/0!</v>
      </c>
      <c r="D30" s="1"/>
      <c r="E30" s="1" t="s">
        <v>233</v>
      </c>
      <c r="F30" s="1" t="e">
        <f t="shared" si="2"/>
        <v>#DIV/0!</v>
      </c>
    </row>
    <row r="31" spans="2:6">
      <c r="B31" s="273" t="s">
        <v>240</v>
      </c>
      <c r="C31" s="1" t="e">
        <f>H16</f>
        <v>#DIV/0!</v>
      </c>
      <c r="D31" s="1"/>
      <c r="E31" s="1" t="s">
        <v>233</v>
      </c>
      <c r="F31" s="1" t="e">
        <f t="shared" si="2"/>
        <v>#DIV/0!</v>
      </c>
    </row>
    <row r="32" spans="2:6">
      <c r="B32" s="273" t="s">
        <v>100</v>
      </c>
      <c r="C32" s="1" t="e">
        <f>I16</f>
        <v>#DIV/0!</v>
      </c>
      <c r="D32" s="1"/>
      <c r="E32" s="1" t="s">
        <v>233</v>
      </c>
      <c r="F32" s="1" t="e">
        <f t="shared" si="2"/>
        <v>#DIV/0!</v>
      </c>
    </row>
    <row r="33" spans="2:6">
      <c r="B33" s="273" t="s">
        <v>101</v>
      </c>
      <c r="C33" s="1" t="e">
        <f>J16</f>
        <v>#DIV/0!</v>
      </c>
      <c r="D33" s="1"/>
      <c r="E33" s="1" t="s">
        <v>233</v>
      </c>
      <c r="F33" s="1" t="e">
        <f t="shared" si="2"/>
        <v>#DIV/0!</v>
      </c>
    </row>
    <row r="34" spans="2:6">
      <c r="B34" s="273" t="s">
        <v>102</v>
      </c>
      <c r="C34" s="1" t="e">
        <f>K16</f>
        <v>#DIV/0!</v>
      </c>
      <c r="D34" s="1"/>
      <c r="E34" s="1" t="s">
        <v>234</v>
      </c>
      <c r="F34" s="1" t="e">
        <f t="shared" si="2"/>
        <v>#DIV/0!</v>
      </c>
    </row>
    <row r="35" spans="2:6">
      <c r="B35" s="273" t="s">
        <v>103</v>
      </c>
      <c r="C35" s="1" t="e">
        <f>L16</f>
        <v>#DIV/0!</v>
      </c>
      <c r="D35" s="1"/>
      <c r="E35" s="1" t="s">
        <v>234</v>
      </c>
      <c r="F35" s="1" t="e">
        <f t="shared" si="2"/>
        <v>#DIV/0!</v>
      </c>
    </row>
    <row r="36" spans="2:6">
      <c r="B36" s="273" t="s">
        <v>104</v>
      </c>
      <c r="C36" s="1" t="e">
        <f>M16</f>
        <v>#DIV/0!</v>
      </c>
      <c r="D36" s="1"/>
      <c r="E36" s="1" t="s">
        <v>233</v>
      </c>
      <c r="F36" s="1" t="e">
        <f t="shared" si="2"/>
        <v>#DIV/0!</v>
      </c>
    </row>
    <row r="37" spans="2:6">
      <c r="B37" s="273" t="s">
        <v>105</v>
      </c>
      <c r="C37" s="1" t="e">
        <f>N16</f>
        <v>#DIV/0!</v>
      </c>
      <c r="D37" s="1"/>
      <c r="E37" s="1" t="s">
        <v>233</v>
      </c>
      <c r="F37" s="1" t="e">
        <f t="shared" si="2"/>
        <v>#DIV/0!</v>
      </c>
    </row>
    <row r="38" spans="2:6">
      <c r="B38" s="273" t="s">
        <v>106</v>
      </c>
      <c r="C38" s="1" t="e">
        <f>O16</f>
        <v>#DIV/0!</v>
      </c>
      <c r="D38" s="1"/>
      <c r="E38" s="1" t="s">
        <v>233</v>
      </c>
      <c r="F38" s="1" t="e">
        <f t="shared" si="2"/>
        <v>#DIV/0!</v>
      </c>
    </row>
    <row r="39" spans="2:6">
      <c r="B39" s="273" t="s">
        <v>107</v>
      </c>
      <c r="C39" s="1" t="e">
        <f>P16</f>
        <v>#DIV/0!</v>
      </c>
      <c r="D39" s="1"/>
      <c r="E39" s="1" t="s">
        <v>233</v>
      </c>
      <c r="F39" s="1" t="e">
        <f t="shared" si="2"/>
        <v>#DIV/0!</v>
      </c>
    </row>
    <row r="40" spans="2:6">
      <c r="B40" s="273" t="s">
        <v>108</v>
      </c>
      <c r="C40" s="1" t="e">
        <f>Q16</f>
        <v>#DIV/0!</v>
      </c>
      <c r="D40" s="1"/>
      <c r="E40" s="1" t="s">
        <v>234</v>
      </c>
      <c r="F40" s="1" t="e">
        <f t="shared" si="2"/>
        <v>#DIV/0!</v>
      </c>
    </row>
    <row r="41" spans="2:6">
      <c r="B41" s="273" t="s">
        <v>109</v>
      </c>
      <c r="C41" s="1" t="e">
        <f>R16</f>
        <v>#DIV/0!</v>
      </c>
      <c r="D41" s="1"/>
      <c r="E41" s="1" t="s">
        <v>234</v>
      </c>
      <c r="F41" s="1" t="e">
        <f t="shared" si="2"/>
        <v>#DIV/0!</v>
      </c>
    </row>
  </sheetData>
  <mergeCells count="3">
    <mergeCell ref="G4:R4"/>
    <mergeCell ref="E1:Q3"/>
    <mergeCell ref="B4:F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6" tint="0.59999389629810485"/>
  </sheetPr>
  <dimension ref="A1:S305"/>
  <sheetViews>
    <sheetView zoomScale="70" zoomScaleNormal="70" workbookViewId="0">
      <selection activeCell="A3" sqref="A3"/>
    </sheetView>
  </sheetViews>
  <sheetFormatPr defaultRowHeight="15.5"/>
  <cols>
    <col min="1" max="1" width="16.81640625" style="255" bestFit="1" customWidth="1"/>
    <col min="2" max="2" width="9.81640625" style="246" bestFit="1" customWidth="1"/>
    <col min="3" max="12" width="8.7265625" style="246"/>
    <col min="13" max="13" width="7.7265625" style="246" customWidth="1"/>
    <col min="14" max="17" width="8.7265625" style="246"/>
    <col min="18" max="16384" width="8.7265625" style="232"/>
  </cols>
  <sheetData>
    <row r="1" spans="1:19" ht="30" customHeight="1" thickBot="1">
      <c r="A1" s="251" t="s">
        <v>223</v>
      </c>
      <c r="B1" s="236"/>
      <c r="C1" s="236"/>
      <c r="D1" s="236"/>
      <c r="E1" s="236"/>
      <c r="F1" s="236"/>
      <c r="G1" s="236"/>
      <c r="H1" s="237"/>
      <c r="I1" s="237"/>
      <c r="J1" s="237"/>
      <c r="K1" s="237"/>
      <c r="L1" s="237"/>
      <c r="M1" s="237"/>
      <c r="N1" s="237"/>
      <c r="O1" s="237"/>
      <c r="P1" s="237"/>
      <c r="Q1" s="238"/>
      <c r="R1" s="233"/>
      <c r="S1" s="233"/>
    </row>
    <row r="2" spans="1:19" ht="17">
      <c r="A2" s="252" t="s">
        <v>206</v>
      </c>
      <c r="B2" s="239" t="s">
        <v>207</v>
      </c>
      <c r="C2" s="239" t="s">
        <v>208</v>
      </c>
      <c r="D2" s="239" t="s">
        <v>209</v>
      </c>
      <c r="E2" s="239" t="s">
        <v>210</v>
      </c>
      <c r="F2" s="239" t="s">
        <v>211</v>
      </c>
      <c r="G2" s="239" t="s">
        <v>212</v>
      </c>
      <c r="H2" s="239" t="s">
        <v>213</v>
      </c>
      <c r="I2" s="239" t="s">
        <v>214</v>
      </c>
      <c r="J2" s="239" t="s">
        <v>215</v>
      </c>
      <c r="K2" s="239" t="s">
        <v>216</v>
      </c>
      <c r="L2" s="239" t="s">
        <v>217</v>
      </c>
      <c r="M2" s="239" t="s">
        <v>218</v>
      </c>
      <c r="N2" s="239" t="s">
        <v>219</v>
      </c>
      <c r="O2" s="239" t="s">
        <v>220</v>
      </c>
      <c r="P2" s="239" t="s">
        <v>221</v>
      </c>
      <c r="Q2" s="240" t="s">
        <v>222</v>
      </c>
      <c r="R2" s="233"/>
      <c r="S2" s="233"/>
    </row>
    <row r="3" spans="1:19">
      <c r="A3" s="66"/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2"/>
      <c r="R3" s="233"/>
      <c r="S3" s="233"/>
    </row>
    <row r="4" spans="1:19">
      <c r="A4" s="72"/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2"/>
      <c r="R4" s="233"/>
      <c r="S4" s="233"/>
    </row>
    <row r="5" spans="1:19">
      <c r="A5" s="66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2"/>
      <c r="R5" s="233"/>
      <c r="S5" s="233"/>
    </row>
    <row r="6" spans="1:19">
      <c r="A6" s="253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2"/>
      <c r="R6" s="233"/>
      <c r="S6" s="233"/>
    </row>
    <row r="7" spans="1:19">
      <c r="A7" s="253"/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2"/>
      <c r="R7" s="233"/>
      <c r="S7" s="233"/>
    </row>
    <row r="8" spans="1:19">
      <c r="A8" s="253"/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2"/>
      <c r="R8" s="233"/>
      <c r="S8" s="233"/>
    </row>
    <row r="9" spans="1:19">
      <c r="A9" s="253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2"/>
      <c r="R9" s="233"/>
      <c r="S9" s="233"/>
    </row>
    <row r="10" spans="1:19">
      <c r="A10" s="253"/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2"/>
      <c r="R10" s="233"/>
      <c r="S10" s="233"/>
    </row>
    <row r="11" spans="1:19">
      <c r="A11" s="253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2"/>
      <c r="R11" s="233"/>
      <c r="S11" s="233"/>
    </row>
    <row r="12" spans="1:19">
      <c r="A12" s="253"/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  <c r="O12" s="241"/>
      <c r="P12" s="241"/>
      <c r="Q12" s="242"/>
      <c r="R12" s="233"/>
      <c r="S12" s="233"/>
    </row>
    <row r="13" spans="1:19">
      <c r="A13" s="253"/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2"/>
      <c r="R13" s="233"/>
      <c r="S13" s="233"/>
    </row>
    <row r="14" spans="1:19">
      <c r="A14" s="253"/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  <c r="O14" s="241"/>
      <c r="P14" s="241"/>
      <c r="Q14" s="242"/>
      <c r="R14" s="233"/>
      <c r="S14" s="233"/>
    </row>
    <row r="15" spans="1:19">
      <c r="A15" s="253"/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2"/>
      <c r="R15" s="233"/>
      <c r="S15" s="233"/>
    </row>
    <row r="16" spans="1:19">
      <c r="A16" s="253"/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2"/>
      <c r="R16" s="233"/>
      <c r="S16" s="233"/>
    </row>
    <row r="17" spans="1:19">
      <c r="A17" s="253"/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2"/>
      <c r="R17" s="233"/>
      <c r="S17" s="233"/>
    </row>
    <row r="18" spans="1:19">
      <c r="A18" s="253"/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2"/>
      <c r="R18" s="233"/>
      <c r="S18" s="233"/>
    </row>
    <row r="19" spans="1:19">
      <c r="A19" s="253"/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2"/>
      <c r="R19" s="233"/>
      <c r="S19" s="233"/>
    </row>
    <row r="20" spans="1:19">
      <c r="A20" s="253"/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2"/>
      <c r="R20" s="233"/>
      <c r="S20" s="233"/>
    </row>
    <row r="21" spans="1:19">
      <c r="A21" s="253"/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2"/>
      <c r="R21" s="233"/>
      <c r="S21" s="233"/>
    </row>
    <row r="22" spans="1:19">
      <c r="A22" s="253"/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2"/>
      <c r="R22" s="233"/>
      <c r="S22" s="233"/>
    </row>
    <row r="23" spans="1:19">
      <c r="A23" s="253"/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2"/>
      <c r="R23" s="233"/>
      <c r="S23" s="233"/>
    </row>
    <row r="24" spans="1:19">
      <c r="A24" s="253"/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  <c r="O24" s="241"/>
      <c r="P24" s="241"/>
      <c r="Q24" s="242"/>
      <c r="R24" s="233"/>
      <c r="S24" s="233"/>
    </row>
    <row r="25" spans="1:19">
      <c r="A25" s="253"/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2"/>
      <c r="R25" s="233"/>
      <c r="S25" s="233"/>
    </row>
    <row r="26" spans="1:19">
      <c r="A26" s="253"/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  <c r="O26" s="241"/>
      <c r="P26" s="241"/>
      <c r="Q26" s="242"/>
      <c r="R26" s="233"/>
      <c r="S26" s="233"/>
    </row>
    <row r="27" spans="1:19">
      <c r="A27" s="253"/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  <c r="O27" s="241"/>
      <c r="P27" s="241"/>
      <c r="Q27" s="242"/>
      <c r="R27" s="233"/>
      <c r="S27" s="233"/>
    </row>
    <row r="28" spans="1:19">
      <c r="A28" s="253"/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  <c r="O28" s="241"/>
      <c r="P28" s="241"/>
      <c r="Q28" s="242"/>
      <c r="R28" s="233"/>
      <c r="S28" s="233"/>
    </row>
    <row r="29" spans="1:19">
      <c r="A29" s="253"/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  <c r="O29" s="241"/>
      <c r="P29" s="241"/>
      <c r="Q29" s="242"/>
      <c r="R29" s="233"/>
      <c r="S29" s="233"/>
    </row>
    <row r="30" spans="1:19">
      <c r="A30" s="253"/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2"/>
      <c r="R30" s="233"/>
      <c r="S30" s="233"/>
    </row>
    <row r="31" spans="1:19">
      <c r="A31" s="253"/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2"/>
      <c r="R31" s="233"/>
      <c r="S31" s="233"/>
    </row>
    <row r="32" spans="1:19">
      <c r="A32" s="253"/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2"/>
      <c r="R32" s="233"/>
      <c r="S32" s="233"/>
    </row>
    <row r="33" spans="1:19">
      <c r="A33" s="253"/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2"/>
      <c r="R33" s="233"/>
      <c r="S33" s="233"/>
    </row>
    <row r="34" spans="1:19">
      <c r="A34" s="253"/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2"/>
      <c r="R34" s="233"/>
      <c r="S34" s="233"/>
    </row>
    <row r="35" spans="1:19">
      <c r="A35" s="253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2"/>
      <c r="R35" s="233"/>
      <c r="S35" s="233"/>
    </row>
    <row r="36" spans="1:19">
      <c r="A36" s="253"/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2"/>
      <c r="R36" s="233"/>
      <c r="S36" s="233"/>
    </row>
    <row r="37" spans="1:19">
      <c r="A37" s="253"/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2"/>
      <c r="R37" s="233"/>
      <c r="S37" s="233"/>
    </row>
    <row r="38" spans="1:19">
      <c r="A38" s="253"/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2"/>
      <c r="R38" s="233"/>
      <c r="S38" s="233"/>
    </row>
    <row r="39" spans="1:19">
      <c r="A39" s="253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1"/>
      <c r="P39" s="241"/>
      <c r="Q39" s="242"/>
      <c r="R39" s="233"/>
      <c r="S39" s="233"/>
    </row>
    <row r="40" spans="1:19">
      <c r="A40" s="253"/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2"/>
      <c r="R40" s="233"/>
      <c r="S40" s="233"/>
    </row>
    <row r="41" spans="1:19">
      <c r="A41" s="253"/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2"/>
      <c r="R41" s="233"/>
      <c r="S41" s="233"/>
    </row>
    <row r="42" spans="1:19">
      <c r="A42" s="253"/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2"/>
      <c r="R42" s="233"/>
      <c r="S42" s="233"/>
    </row>
    <row r="43" spans="1:19">
      <c r="A43" s="253"/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2"/>
      <c r="R43" s="233"/>
      <c r="S43" s="233"/>
    </row>
    <row r="44" spans="1:19">
      <c r="A44" s="253"/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2"/>
      <c r="R44" s="233"/>
      <c r="S44" s="233"/>
    </row>
    <row r="45" spans="1:19">
      <c r="A45" s="253"/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2"/>
      <c r="R45" s="233"/>
      <c r="S45" s="233"/>
    </row>
    <row r="46" spans="1:19">
      <c r="A46" s="253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2"/>
      <c r="R46" s="233"/>
      <c r="S46" s="233"/>
    </row>
    <row r="47" spans="1:19">
      <c r="A47" s="253"/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  <c r="R47" s="233"/>
      <c r="S47" s="233"/>
    </row>
    <row r="48" spans="1:19">
      <c r="A48" s="253"/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2"/>
      <c r="R48" s="233"/>
      <c r="S48" s="233"/>
    </row>
    <row r="49" spans="1:19">
      <c r="A49" s="253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2"/>
      <c r="R49" s="233"/>
      <c r="S49" s="233"/>
    </row>
    <row r="50" spans="1:19">
      <c r="A50" s="253"/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2"/>
      <c r="R50" s="233"/>
      <c r="S50" s="233"/>
    </row>
    <row r="51" spans="1:19">
      <c r="A51" s="253"/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2"/>
      <c r="R51" s="233"/>
      <c r="S51" s="233"/>
    </row>
    <row r="52" spans="1:19">
      <c r="A52" s="253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2"/>
      <c r="R52" s="233"/>
      <c r="S52" s="233"/>
    </row>
    <row r="53" spans="1:19">
      <c r="A53" s="253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2"/>
      <c r="R53" s="233"/>
      <c r="S53" s="233"/>
    </row>
    <row r="54" spans="1:19">
      <c r="A54" s="253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2"/>
      <c r="R54" s="233"/>
      <c r="S54" s="233"/>
    </row>
    <row r="55" spans="1:19">
      <c r="A55" s="253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2"/>
      <c r="R55" s="233"/>
      <c r="S55" s="233"/>
    </row>
    <row r="56" spans="1:19">
      <c r="A56" s="253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2"/>
      <c r="R56" s="233"/>
      <c r="S56" s="233"/>
    </row>
    <row r="57" spans="1:19">
      <c r="A57" s="253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2"/>
      <c r="R57" s="233"/>
      <c r="S57" s="233"/>
    </row>
    <row r="58" spans="1:19">
      <c r="A58" s="253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2"/>
      <c r="R58" s="233"/>
      <c r="S58" s="233"/>
    </row>
    <row r="59" spans="1:19">
      <c r="A59" s="253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2"/>
      <c r="R59" s="233"/>
      <c r="S59" s="233"/>
    </row>
    <row r="60" spans="1:19">
      <c r="A60" s="253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2"/>
      <c r="R60" s="233"/>
      <c r="S60" s="233"/>
    </row>
    <row r="61" spans="1:19">
      <c r="A61" s="253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2"/>
      <c r="R61" s="233"/>
      <c r="S61" s="233"/>
    </row>
    <row r="62" spans="1:19">
      <c r="A62" s="253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2"/>
      <c r="R62" s="233"/>
      <c r="S62" s="233"/>
    </row>
    <row r="63" spans="1:19">
      <c r="A63" s="253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2"/>
      <c r="R63" s="233"/>
      <c r="S63" s="233"/>
    </row>
    <row r="64" spans="1:19">
      <c r="A64" s="253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2"/>
      <c r="R64" s="233"/>
      <c r="S64" s="233"/>
    </row>
    <row r="65" spans="1:19">
      <c r="A65" s="253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2"/>
      <c r="R65" s="233"/>
      <c r="S65" s="233"/>
    </row>
    <row r="66" spans="1:19">
      <c r="A66" s="253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2"/>
      <c r="R66" s="233"/>
      <c r="S66" s="233"/>
    </row>
    <row r="67" spans="1:19">
      <c r="A67" s="253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2"/>
      <c r="R67" s="233"/>
      <c r="S67" s="233"/>
    </row>
    <row r="68" spans="1:19">
      <c r="A68" s="253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2"/>
      <c r="R68" s="233"/>
      <c r="S68" s="233"/>
    </row>
    <row r="69" spans="1:19">
      <c r="A69" s="253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2"/>
      <c r="R69" s="233"/>
      <c r="S69" s="233"/>
    </row>
    <row r="70" spans="1:19">
      <c r="A70" s="253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2"/>
      <c r="R70" s="233"/>
      <c r="S70" s="233"/>
    </row>
    <row r="71" spans="1:19">
      <c r="A71" s="253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2"/>
      <c r="R71" s="233"/>
      <c r="S71" s="233"/>
    </row>
    <row r="72" spans="1:19">
      <c r="A72" s="253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2"/>
      <c r="R72" s="233"/>
      <c r="S72" s="233"/>
    </row>
    <row r="73" spans="1:19">
      <c r="A73" s="253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2"/>
      <c r="R73" s="233"/>
      <c r="S73" s="233"/>
    </row>
    <row r="74" spans="1:19">
      <c r="A74" s="253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2"/>
      <c r="R74" s="233"/>
      <c r="S74" s="233"/>
    </row>
    <row r="75" spans="1:19">
      <c r="A75" s="253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2"/>
      <c r="R75" s="233"/>
      <c r="S75" s="233"/>
    </row>
    <row r="76" spans="1:19">
      <c r="A76" s="253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2"/>
      <c r="R76" s="233"/>
      <c r="S76" s="233"/>
    </row>
    <row r="77" spans="1:19">
      <c r="A77" s="253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2"/>
      <c r="R77" s="233"/>
      <c r="S77" s="233"/>
    </row>
    <row r="78" spans="1:19">
      <c r="A78" s="253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2"/>
      <c r="R78" s="233"/>
      <c r="S78" s="233"/>
    </row>
    <row r="79" spans="1:19">
      <c r="A79" s="253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2"/>
      <c r="R79" s="233"/>
      <c r="S79" s="233"/>
    </row>
    <row r="80" spans="1:19">
      <c r="A80" s="253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2"/>
      <c r="R80" s="233"/>
      <c r="S80" s="233"/>
    </row>
    <row r="81" spans="1:19">
      <c r="A81" s="253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2"/>
      <c r="R81" s="233"/>
      <c r="S81" s="233"/>
    </row>
    <row r="82" spans="1:19">
      <c r="A82" s="253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2"/>
      <c r="R82" s="233"/>
      <c r="S82" s="233"/>
    </row>
    <row r="83" spans="1:19">
      <c r="A83" s="253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2"/>
      <c r="R83" s="233"/>
      <c r="S83" s="233"/>
    </row>
    <row r="84" spans="1:19">
      <c r="A84" s="253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2"/>
      <c r="R84" s="233"/>
      <c r="S84" s="233"/>
    </row>
    <row r="85" spans="1:19">
      <c r="A85" s="253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2"/>
      <c r="R85" s="233"/>
      <c r="S85" s="233"/>
    </row>
    <row r="86" spans="1:19">
      <c r="A86" s="253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2"/>
      <c r="R86" s="233"/>
      <c r="S86" s="233"/>
    </row>
    <row r="87" spans="1:19">
      <c r="A87" s="253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2"/>
      <c r="R87" s="233"/>
      <c r="S87" s="233"/>
    </row>
    <row r="88" spans="1:19">
      <c r="A88" s="253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2"/>
      <c r="R88" s="233"/>
      <c r="S88" s="233"/>
    </row>
    <row r="89" spans="1:19">
      <c r="A89" s="253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2"/>
      <c r="R89" s="233"/>
      <c r="S89" s="233"/>
    </row>
    <row r="90" spans="1:19">
      <c r="A90" s="253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2"/>
      <c r="R90" s="233"/>
      <c r="S90" s="233"/>
    </row>
    <row r="91" spans="1:19">
      <c r="A91" s="253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2"/>
      <c r="R91" s="233"/>
      <c r="S91" s="233"/>
    </row>
    <row r="92" spans="1:19">
      <c r="A92" s="253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2"/>
      <c r="R92" s="233"/>
      <c r="S92" s="233"/>
    </row>
    <row r="93" spans="1:19">
      <c r="A93" s="253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2"/>
      <c r="R93" s="233"/>
      <c r="S93" s="233"/>
    </row>
    <row r="94" spans="1:19">
      <c r="A94" s="253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2"/>
      <c r="R94" s="233"/>
      <c r="S94" s="233"/>
    </row>
    <row r="95" spans="1:19">
      <c r="A95" s="253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2"/>
      <c r="R95" s="233"/>
      <c r="S95" s="233"/>
    </row>
    <row r="96" spans="1:19">
      <c r="A96" s="253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2"/>
      <c r="R96" s="233"/>
      <c r="S96" s="233"/>
    </row>
    <row r="97" spans="1:19">
      <c r="A97" s="253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2"/>
      <c r="R97" s="233"/>
      <c r="S97" s="233"/>
    </row>
    <row r="98" spans="1:19">
      <c r="A98" s="253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2"/>
      <c r="R98" s="233"/>
      <c r="S98" s="233"/>
    </row>
    <row r="99" spans="1:19">
      <c r="A99" s="253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2"/>
      <c r="R99" s="233"/>
      <c r="S99" s="233"/>
    </row>
    <row r="100" spans="1:19">
      <c r="A100" s="253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2"/>
      <c r="R100" s="233"/>
      <c r="S100" s="233"/>
    </row>
    <row r="101" spans="1:19">
      <c r="A101" s="253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2"/>
      <c r="R101" s="233"/>
      <c r="S101" s="233"/>
    </row>
    <row r="102" spans="1:19">
      <c r="A102" s="253"/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  <c r="O102" s="241"/>
      <c r="P102" s="241"/>
      <c r="Q102" s="242"/>
      <c r="R102" s="233"/>
      <c r="S102" s="233"/>
    </row>
    <row r="103" spans="1:19">
      <c r="A103" s="253"/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  <c r="O103" s="241"/>
      <c r="P103" s="241"/>
      <c r="Q103" s="242"/>
      <c r="R103" s="233"/>
      <c r="S103" s="233"/>
    </row>
    <row r="104" spans="1:19">
      <c r="A104" s="253"/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2"/>
      <c r="R104" s="233"/>
      <c r="S104" s="233"/>
    </row>
    <row r="105" spans="1:19">
      <c r="A105" s="253"/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Q105" s="242"/>
      <c r="R105" s="233"/>
      <c r="S105" s="233"/>
    </row>
    <row r="106" spans="1:19">
      <c r="A106" s="253"/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2"/>
      <c r="R106" s="233"/>
      <c r="S106" s="233"/>
    </row>
    <row r="107" spans="1:19">
      <c r="A107" s="253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2"/>
      <c r="R107" s="233"/>
      <c r="S107" s="233"/>
    </row>
    <row r="108" spans="1:19">
      <c r="A108" s="253"/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  <c r="O108" s="241"/>
      <c r="P108" s="241"/>
      <c r="Q108" s="242"/>
      <c r="R108" s="233"/>
      <c r="S108" s="233"/>
    </row>
    <row r="109" spans="1:19">
      <c r="A109" s="253"/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  <c r="O109" s="241"/>
      <c r="P109" s="241"/>
      <c r="Q109" s="242"/>
      <c r="R109" s="233"/>
      <c r="S109" s="233"/>
    </row>
    <row r="110" spans="1:19">
      <c r="A110" s="253"/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  <c r="O110" s="241"/>
      <c r="P110" s="241"/>
      <c r="Q110" s="242"/>
      <c r="R110" s="233"/>
      <c r="S110" s="233"/>
    </row>
    <row r="111" spans="1:19">
      <c r="A111" s="253"/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  <c r="O111" s="241"/>
      <c r="P111" s="241"/>
      <c r="Q111" s="242"/>
      <c r="R111" s="233"/>
      <c r="S111" s="233"/>
    </row>
    <row r="112" spans="1:19">
      <c r="A112" s="253"/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  <c r="O112" s="241"/>
      <c r="P112" s="241"/>
      <c r="Q112" s="242"/>
      <c r="R112" s="233"/>
      <c r="S112" s="233"/>
    </row>
    <row r="113" spans="1:19">
      <c r="A113" s="253"/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  <c r="O113" s="241"/>
      <c r="P113" s="241"/>
      <c r="Q113" s="242"/>
      <c r="R113" s="233"/>
      <c r="S113" s="233"/>
    </row>
    <row r="114" spans="1:19">
      <c r="A114" s="253"/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  <c r="O114" s="241"/>
      <c r="P114" s="241"/>
      <c r="Q114" s="242"/>
      <c r="R114" s="233"/>
      <c r="S114" s="233"/>
    </row>
    <row r="115" spans="1:19">
      <c r="A115" s="253"/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  <c r="O115" s="241"/>
      <c r="P115" s="241"/>
      <c r="Q115" s="242"/>
      <c r="R115" s="233"/>
      <c r="S115" s="233"/>
    </row>
    <row r="116" spans="1:19">
      <c r="A116" s="253"/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  <c r="O116" s="241"/>
      <c r="P116" s="241"/>
      <c r="Q116" s="242"/>
      <c r="R116" s="233"/>
      <c r="S116" s="233"/>
    </row>
    <row r="117" spans="1:19">
      <c r="A117" s="253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  <c r="O117" s="241"/>
      <c r="P117" s="241"/>
      <c r="Q117" s="242"/>
      <c r="R117" s="233"/>
      <c r="S117" s="233"/>
    </row>
    <row r="118" spans="1:19">
      <c r="A118" s="253"/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  <c r="O118" s="241"/>
      <c r="P118" s="241"/>
      <c r="Q118" s="242"/>
      <c r="R118" s="233"/>
      <c r="S118" s="233"/>
    </row>
    <row r="119" spans="1:19">
      <c r="A119" s="253"/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  <c r="O119" s="241"/>
      <c r="P119" s="241"/>
      <c r="Q119" s="242"/>
      <c r="R119" s="233"/>
      <c r="S119" s="233"/>
    </row>
    <row r="120" spans="1:19">
      <c r="A120" s="253"/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  <c r="O120" s="241"/>
      <c r="P120" s="241"/>
      <c r="Q120" s="242"/>
      <c r="R120" s="233"/>
      <c r="S120" s="233"/>
    </row>
    <row r="121" spans="1:19">
      <c r="A121" s="253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1"/>
      <c r="P121" s="241"/>
      <c r="Q121" s="242"/>
      <c r="R121" s="233"/>
      <c r="S121" s="233"/>
    </row>
    <row r="122" spans="1:19">
      <c r="A122" s="253"/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  <c r="O122" s="241"/>
      <c r="P122" s="241"/>
      <c r="Q122" s="242"/>
      <c r="R122" s="233"/>
      <c r="S122" s="233"/>
    </row>
    <row r="123" spans="1:19">
      <c r="A123" s="253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  <c r="O123" s="241"/>
      <c r="P123" s="241"/>
      <c r="Q123" s="242"/>
      <c r="R123" s="233"/>
      <c r="S123" s="233"/>
    </row>
    <row r="124" spans="1:19">
      <c r="A124" s="253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241"/>
      <c r="Q124" s="242"/>
      <c r="R124" s="233"/>
      <c r="S124" s="233"/>
    </row>
    <row r="125" spans="1:19">
      <c r="A125" s="253"/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  <c r="O125" s="241"/>
      <c r="P125" s="241"/>
      <c r="Q125" s="242"/>
      <c r="R125" s="233"/>
      <c r="S125" s="233"/>
    </row>
    <row r="126" spans="1:19">
      <c r="A126" s="253"/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  <c r="O126" s="241"/>
      <c r="P126" s="241"/>
      <c r="Q126" s="242"/>
      <c r="R126" s="233"/>
      <c r="S126" s="233"/>
    </row>
    <row r="127" spans="1:19">
      <c r="A127" s="253"/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241"/>
      <c r="Q127" s="242"/>
      <c r="R127" s="233"/>
      <c r="S127" s="233"/>
    </row>
    <row r="128" spans="1:19">
      <c r="A128" s="253"/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  <c r="O128" s="241"/>
      <c r="P128" s="241"/>
      <c r="Q128" s="242"/>
      <c r="R128" s="233"/>
      <c r="S128" s="233"/>
    </row>
    <row r="129" spans="1:19">
      <c r="A129" s="253"/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  <c r="O129" s="241"/>
      <c r="P129" s="241"/>
      <c r="Q129" s="242"/>
      <c r="R129" s="233"/>
      <c r="S129" s="233"/>
    </row>
    <row r="130" spans="1:19">
      <c r="A130" s="253"/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  <c r="O130" s="241"/>
      <c r="P130" s="241"/>
      <c r="Q130" s="242"/>
      <c r="R130" s="233"/>
      <c r="S130" s="233"/>
    </row>
    <row r="131" spans="1:19">
      <c r="A131" s="253"/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  <c r="O131" s="241"/>
      <c r="P131" s="241"/>
      <c r="Q131" s="242"/>
      <c r="R131" s="233"/>
      <c r="S131" s="233"/>
    </row>
    <row r="132" spans="1:19">
      <c r="A132" s="253"/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241"/>
      <c r="Q132" s="242"/>
      <c r="R132" s="233"/>
      <c r="S132" s="233"/>
    </row>
    <row r="133" spans="1:19">
      <c r="A133" s="253"/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  <c r="O133" s="241"/>
      <c r="P133" s="241"/>
      <c r="Q133" s="242"/>
      <c r="R133" s="233"/>
      <c r="S133" s="233"/>
    </row>
    <row r="134" spans="1:19">
      <c r="A134" s="253"/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  <c r="O134" s="241"/>
      <c r="P134" s="241"/>
      <c r="Q134" s="242"/>
      <c r="R134" s="233"/>
      <c r="S134" s="233"/>
    </row>
    <row r="135" spans="1:19">
      <c r="A135" s="253"/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241"/>
      <c r="Q135" s="242"/>
      <c r="R135" s="233"/>
      <c r="S135" s="233"/>
    </row>
    <row r="136" spans="1:19">
      <c r="A136" s="253"/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  <c r="O136" s="241"/>
      <c r="P136" s="241"/>
      <c r="Q136" s="242"/>
      <c r="R136" s="233"/>
      <c r="S136" s="233"/>
    </row>
    <row r="137" spans="1:19">
      <c r="A137" s="253"/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  <c r="O137" s="241"/>
      <c r="P137" s="241"/>
      <c r="Q137" s="242"/>
      <c r="R137" s="233"/>
      <c r="S137" s="233"/>
    </row>
    <row r="138" spans="1:19">
      <c r="A138" s="253"/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  <c r="P138" s="241"/>
      <c r="Q138" s="242"/>
      <c r="R138" s="233"/>
      <c r="S138" s="233"/>
    </row>
    <row r="139" spans="1:19">
      <c r="A139" s="253"/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  <c r="P139" s="241"/>
      <c r="Q139" s="242"/>
      <c r="R139" s="233"/>
      <c r="S139" s="233"/>
    </row>
    <row r="140" spans="1:19">
      <c r="A140" s="253"/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2"/>
      <c r="R140" s="233"/>
      <c r="S140" s="233"/>
    </row>
    <row r="141" spans="1:19">
      <c r="A141" s="253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  <c r="O141" s="241"/>
      <c r="P141" s="241"/>
      <c r="Q141" s="242"/>
      <c r="R141" s="233"/>
      <c r="S141" s="233"/>
    </row>
    <row r="142" spans="1:19">
      <c r="A142" s="253"/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  <c r="O142" s="241"/>
      <c r="P142" s="241"/>
      <c r="Q142" s="242"/>
      <c r="R142" s="233"/>
      <c r="S142" s="233"/>
    </row>
    <row r="143" spans="1:19">
      <c r="A143" s="253"/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  <c r="O143" s="241"/>
      <c r="P143" s="241"/>
      <c r="Q143" s="242"/>
      <c r="R143" s="233"/>
      <c r="S143" s="233"/>
    </row>
    <row r="144" spans="1:19">
      <c r="A144" s="253"/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  <c r="O144" s="241"/>
      <c r="P144" s="241"/>
      <c r="Q144" s="242"/>
      <c r="R144" s="233"/>
      <c r="S144" s="233"/>
    </row>
    <row r="145" spans="1:19">
      <c r="A145" s="253"/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  <c r="O145" s="241"/>
      <c r="P145" s="241"/>
      <c r="Q145" s="242"/>
      <c r="R145" s="233"/>
      <c r="S145" s="233"/>
    </row>
    <row r="146" spans="1:19">
      <c r="A146" s="253"/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  <c r="O146" s="241"/>
      <c r="P146" s="241"/>
      <c r="Q146" s="242"/>
      <c r="R146" s="233"/>
      <c r="S146" s="233"/>
    </row>
    <row r="147" spans="1:19">
      <c r="A147" s="253"/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  <c r="O147" s="241"/>
      <c r="P147" s="241"/>
      <c r="Q147" s="242"/>
      <c r="R147" s="233"/>
      <c r="S147" s="233"/>
    </row>
    <row r="148" spans="1:19">
      <c r="A148" s="253"/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1"/>
      <c r="P148" s="241"/>
      <c r="Q148" s="242"/>
      <c r="R148" s="233"/>
      <c r="S148" s="233"/>
    </row>
    <row r="149" spans="1:19">
      <c r="A149" s="253"/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  <c r="O149" s="241"/>
      <c r="P149" s="241"/>
      <c r="Q149" s="242"/>
      <c r="R149" s="233"/>
      <c r="S149" s="233"/>
    </row>
    <row r="150" spans="1:19">
      <c r="A150" s="253"/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  <c r="O150" s="241"/>
      <c r="P150" s="241"/>
      <c r="Q150" s="242"/>
      <c r="R150" s="233"/>
      <c r="S150" s="233"/>
    </row>
    <row r="151" spans="1:19">
      <c r="A151" s="253"/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  <c r="O151" s="241"/>
      <c r="P151" s="241"/>
      <c r="Q151" s="242"/>
      <c r="R151" s="233"/>
      <c r="S151" s="233"/>
    </row>
    <row r="152" spans="1:19">
      <c r="A152" s="253"/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2"/>
      <c r="R152" s="233"/>
      <c r="S152" s="233"/>
    </row>
    <row r="153" spans="1:19">
      <c r="A153" s="253"/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  <c r="O153" s="241"/>
      <c r="P153" s="241"/>
      <c r="Q153" s="242"/>
      <c r="R153" s="233"/>
      <c r="S153" s="233"/>
    </row>
    <row r="154" spans="1:19">
      <c r="A154" s="253"/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  <c r="O154" s="241"/>
      <c r="P154" s="241"/>
      <c r="Q154" s="242"/>
      <c r="R154" s="233"/>
      <c r="S154" s="233"/>
    </row>
    <row r="155" spans="1:19">
      <c r="A155" s="253"/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  <c r="O155" s="241"/>
      <c r="P155" s="241"/>
      <c r="Q155" s="242"/>
      <c r="R155" s="233"/>
      <c r="S155" s="233"/>
    </row>
    <row r="156" spans="1:19">
      <c r="A156" s="253"/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  <c r="O156" s="241"/>
      <c r="P156" s="241"/>
      <c r="Q156" s="242"/>
      <c r="R156" s="233"/>
      <c r="S156" s="233"/>
    </row>
    <row r="157" spans="1:19">
      <c r="A157" s="253"/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  <c r="O157" s="241"/>
      <c r="P157" s="241"/>
      <c r="Q157" s="242"/>
      <c r="R157" s="233"/>
      <c r="S157" s="233"/>
    </row>
    <row r="158" spans="1:19">
      <c r="A158" s="253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  <c r="O158" s="241"/>
      <c r="P158" s="241"/>
      <c r="Q158" s="242"/>
      <c r="R158" s="233"/>
      <c r="S158" s="233"/>
    </row>
    <row r="159" spans="1:19">
      <c r="A159" s="253"/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  <c r="O159" s="241"/>
      <c r="P159" s="241"/>
      <c r="Q159" s="242"/>
      <c r="R159" s="233"/>
      <c r="S159" s="233"/>
    </row>
    <row r="160" spans="1:19">
      <c r="A160" s="253"/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  <c r="O160" s="241"/>
      <c r="P160" s="241"/>
      <c r="Q160" s="242"/>
      <c r="R160" s="233"/>
      <c r="S160" s="233"/>
    </row>
    <row r="161" spans="1:19">
      <c r="A161" s="253"/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  <c r="O161" s="241"/>
      <c r="P161" s="241"/>
      <c r="Q161" s="242"/>
      <c r="R161" s="233"/>
      <c r="S161" s="233"/>
    </row>
    <row r="162" spans="1:19">
      <c r="A162" s="253"/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  <c r="O162" s="241"/>
      <c r="P162" s="241"/>
      <c r="Q162" s="242"/>
      <c r="R162" s="233"/>
      <c r="S162" s="233"/>
    </row>
    <row r="163" spans="1:19">
      <c r="A163" s="253"/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  <c r="O163" s="241"/>
      <c r="P163" s="241"/>
      <c r="Q163" s="242"/>
      <c r="R163" s="233"/>
      <c r="S163" s="233"/>
    </row>
    <row r="164" spans="1:19">
      <c r="A164" s="253"/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  <c r="O164" s="241"/>
      <c r="P164" s="241"/>
      <c r="Q164" s="242"/>
      <c r="R164" s="233"/>
      <c r="S164" s="233"/>
    </row>
    <row r="165" spans="1:19">
      <c r="A165" s="253"/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  <c r="O165" s="241"/>
      <c r="P165" s="241"/>
      <c r="Q165" s="242"/>
      <c r="R165" s="233"/>
      <c r="S165" s="233"/>
    </row>
    <row r="166" spans="1:19">
      <c r="A166" s="253"/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  <c r="O166" s="241"/>
      <c r="P166" s="241"/>
      <c r="Q166" s="242"/>
      <c r="R166" s="233"/>
      <c r="S166" s="233"/>
    </row>
    <row r="167" spans="1:19">
      <c r="A167" s="253"/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  <c r="O167" s="241"/>
      <c r="P167" s="241"/>
      <c r="Q167" s="242"/>
      <c r="R167" s="233"/>
      <c r="S167" s="233"/>
    </row>
    <row r="168" spans="1:19">
      <c r="A168" s="253"/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  <c r="O168" s="241"/>
      <c r="P168" s="241"/>
      <c r="Q168" s="242"/>
      <c r="R168" s="233"/>
      <c r="S168" s="233"/>
    </row>
    <row r="169" spans="1:19">
      <c r="A169" s="253"/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  <c r="O169" s="241"/>
      <c r="P169" s="241"/>
      <c r="Q169" s="242"/>
      <c r="R169" s="233"/>
      <c r="S169" s="233"/>
    </row>
    <row r="170" spans="1:19">
      <c r="A170" s="253"/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  <c r="O170" s="241"/>
      <c r="P170" s="241"/>
      <c r="Q170" s="242"/>
      <c r="R170" s="233"/>
      <c r="S170" s="233"/>
    </row>
    <row r="171" spans="1:19">
      <c r="A171" s="253"/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  <c r="O171" s="241"/>
      <c r="P171" s="241"/>
      <c r="Q171" s="242"/>
      <c r="R171" s="233"/>
      <c r="S171" s="233"/>
    </row>
    <row r="172" spans="1:19">
      <c r="A172" s="253"/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  <c r="O172" s="241"/>
      <c r="P172" s="241"/>
      <c r="Q172" s="242"/>
      <c r="R172" s="233"/>
      <c r="S172" s="233"/>
    </row>
    <row r="173" spans="1:19">
      <c r="A173" s="253"/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  <c r="O173" s="241"/>
      <c r="P173" s="241"/>
      <c r="Q173" s="242"/>
      <c r="R173" s="233"/>
      <c r="S173" s="233"/>
    </row>
    <row r="174" spans="1:19">
      <c r="A174" s="253"/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  <c r="O174" s="241"/>
      <c r="P174" s="241"/>
      <c r="Q174" s="242"/>
      <c r="R174" s="233"/>
      <c r="S174" s="233"/>
    </row>
    <row r="175" spans="1:19">
      <c r="A175" s="253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1"/>
      <c r="P175" s="241"/>
      <c r="Q175" s="242"/>
      <c r="R175" s="233"/>
      <c r="S175" s="233"/>
    </row>
    <row r="176" spans="1:19">
      <c r="A176" s="253"/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  <c r="O176" s="241"/>
      <c r="P176" s="241"/>
      <c r="Q176" s="242"/>
      <c r="R176" s="233"/>
      <c r="S176" s="233"/>
    </row>
    <row r="177" spans="1:19">
      <c r="A177" s="253"/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  <c r="O177" s="241"/>
      <c r="P177" s="241"/>
      <c r="Q177" s="242"/>
      <c r="R177" s="233"/>
      <c r="S177" s="233"/>
    </row>
    <row r="178" spans="1:19">
      <c r="A178" s="253"/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  <c r="O178" s="241"/>
      <c r="P178" s="241"/>
      <c r="Q178" s="242"/>
      <c r="R178" s="233"/>
      <c r="S178" s="233"/>
    </row>
    <row r="179" spans="1:19">
      <c r="A179" s="253"/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  <c r="O179" s="241"/>
      <c r="P179" s="241"/>
      <c r="Q179" s="242"/>
      <c r="R179" s="233"/>
      <c r="S179" s="233"/>
    </row>
    <row r="180" spans="1:19">
      <c r="A180" s="253"/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  <c r="O180" s="241"/>
      <c r="P180" s="241"/>
      <c r="Q180" s="242"/>
      <c r="R180" s="233"/>
      <c r="S180" s="233"/>
    </row>
    <row r="181" spans="1:19">
      <c r="A181" s="253"/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  <c r="O181" s="241"/>
      <c r="P181" s="241"/>
      <c r="Q181" s="242"/>
      <c r="R181" s="233"/>
      <c r="S181" s="233"/>
    </row>
    <row r="182" spans="1:19">
      <c r="A182" s="253"/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  <c r="O182" s="241"/>
      <c r="P182" s="241"/>
      <c r="Q182" s="242"/>
      <c r="R182" s="233"/>
      <c r="S182" s="233"/>
    </row>
    <row r="183" spans="1:19">
      <c r="A183" s="253"/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  <c r="O183" s="241"/>
      <c r="P183" s="241"/>
      <c r="Q183" s="242"/>
      <c r="R183" s="233"/>
      <c r="S183" s="233"/>
    </row>
    <row r="184" spans="1:19">
      <c r="A184" s="253"/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  <c r="O184" s="241"/>
      <c r="P184" s="241"/>
      <c r="Q184" s="242"/>
      <c r="R184" s="233"/>
      <c r="S184" s="233"/>
    </row>
    <row r="185" spans="1:19">
      <c r="A185" s="253"/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  <c r="O185" s="241"/>
      <c r="P185" s="241"/>
      <c r="Q185" s="242"/>
      <c r="R185" s="233"/>
      <c r="S185" s="233"/>
    </row>
    <row r="186" spans="1:19">
      <c r="A186" s="253"/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  <c r="O186" s="241"/>
      <c r="P186" s="241"/>
      <c r="Q186" s="242"/>
      <c r="R186" s="233"/>
      <c r="S186" s="233"/>
    </row>
    <row r="187" spans="1:19">
      <c r="A187" s="253"/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  <c r="O187" s="241"/>
      <c r="P187" s="241"/>
      <c r="Q187" s="242"/>
      <c r="R187" s="233"/>
      <c r="S187" s="233"/>
    </row>
    <row r="188" spans="1:19">
      <c r="A188" s="253"/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  <c r="O188" s="241"/>
      <c r="P188" s="241"/>
      <c r="Q188" s="242"/>
      <c r="R188" s="233"/>
      <c r="S188" s="233"/>
    </row>
    <row r="189" spans="1:19">
      <c r="A189" s="253"/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  <c r="O189" s="241"/>
      <c r="P189" s="241"/>
      <c r="Q189" s="242"/>
      <c r="R189" s="233"/>
      <c r="S189" s="233"/>
    </row>
    <row r="190" spans="1:19">
      <c r="A190" s="253"/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  <c r="O190" s="241"/>
      <c r="P190" s="241"/>
      <c r="Q190" s="242"/>
      <c r="R190" s="233"/>
      <c r="S190" s="233"/>
    </row>
    <row r="191" spans="1:19">
      <c r="A191" s="253"/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  <c r="O191" s="241"/>
      <c r="P191" s="241"/>
      <c r="Q191" s="242"/>
      <c r="R191" s="233"/>
      <c r="S191" s="233"/>
    </row>
    <row r="192" spans="1:19">
      <c r="A192" s="253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  <c r="O192" s="241"/>
      <c r="P192" s="241"/>
      <c r="Q192" s="242"/>
      <c r="R192" s="233"/>
      <c r="S192" s="233"/>
    </row>
    <row r="193" spans="1:19">
      <c r="A193" s="253"/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2"/>
      <c r="R193" s="233"/>
      <c r="S193" s="233"/>
    </row>
    <row r="194" spans="1:19">
      <c r="A194" s="253"/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  <c r="O194" s="241"/>
      <c r="P194" s="241"/>
      <c r="Q194" s="242"/>
      <c r="R194" s="233"/>
      <c r="S194" s="233"/>
    </row>
    <row r="195" spans="1:19">
      <c r="A195" s="253"/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  <c r="O195" s="241"/>
      <c r="P195" s="241"/>
      <c r="Q195" s="242"/>
      <c r="R195" s="233"/>
      <c r="S195" s="233"/>
    </row>
    <row r="196" spans="1:19">
      <c r="A196" s="253"/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  <c r="O196" s="241"/>
      <c r="P196" s="241"/>
      <c r="Q196" s="242"/>
      <c r="R196" s="233"/>
      <c r="S196" s="233"/>
    </row>
    <row r="197" spans="1:19">
      <c r="A197" s="253"/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  <c r="O197" s="241"/>
      <c r="P197" s="241"/>
      <c r="Q197" s="242"/>
      <c r="R197" s="233"/>
      <c r="S197" s="233"/>
    </row>
    <row r="198" spans="1:19">
      <c r="A198" s="253"/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  <c r="O198" s="241"/>
      <c r="P198" s="241"/>
      <c r="Q198" s="242"/>
      <c r="R198" s="233"/>
      <c r="S198" s="233"/>
    </row>
    <row r="199" spans="1:19">
      <c r="A199" s="253"/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  <c r="O199" s="241"/>
      <c r="P199" s="241"/>
      <c r="Q199" s="242"/>
      <c r="R199" s="233"/>
      <c r="S199" s="233"/>
    </row>
    <row r="200" spans="1:19">
      <c r="A200" s="253"/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  <c r="O200" s="241"/>
      <c r="P200" s="241"/>
      <c r="Q200" s="242"/>
      <c r="R200" s="233"/>
      <c r="S200" s="233"/>
    </row>
    <row r="201" spans="1:19">
      <c r="A201" s="253"/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  <c r="O201" s="241"/>
      <c r="P201" s="241"/>
      <c r="Q201" s="242"/>
      <c r="R201" s="233"/>
      <c r="S201" s="233"/>
    </row>
    <row r="202" spans="1:19">
      <c r="A202" s="253"/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  <c r="O202" s="241"/>
      <c r="P202" s="241"/>
      <c r="Q202" s="242"/>
      <c r="R202" s="233"/>
      <c r="S202" s="233"/>
    </row>
    <row r="203" spans="1:19">
      <c r="A203" s="253"/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  <c r="O203" s="241"/>
      <c r="P203" s="241"/>
      <c r="Q203" s="242"/>
      <c r="R203" s="233"/>
      <c r="S203" s="233"/>
    </row>
    <row r="204" spans="1:19">
      <c r="A204" s="253"/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  <c r="O204" s="241"/>
      <c r="P204" s="241"/>
      <c r="Q204" s="242"/>
      <c r="R204" s="233"/>
      <c r="S204" s="233"/>
    </row>
    <row r="205" spans="1:19">
      <c r="A205" s="253"/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  <c r="O205" s="241"/>
      <c r="P205" s="241"/>
      <c r="Q205" s="242"/>
      <c r="R205" s="233"/>
      <c r="S205" s="233"/>
    </row>
    <row r="206" spans="1:19">
      <c r="A206" s="253"/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  <c r="O206" s="241"/>
      <c r="P206" s="241"/>
      <c r="Q206" s="242"/>
      <c r="R206" s="233"/>
      <c r="S206" s="233"/>
    </row>
    <row r="207" spans="1:19">
      <c r="A207" s="253"/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  <c r="O207" s="241"/>
      <c r="P207" s="241"/>
      <c r="Q207" s="242"/>
      <c r="R207" s="233"/>
      <c r="S207" s="233"/>
    </row>
    <row r="208" spans="1:19">
      <c r="A208" s="253"/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  <c r="O208" s="241"/>
      <c r="P208" s="241"/>
      <c r="Q208" s="242"/>
      <c r="R208" s="233"/>
      <c r="S208" s="233"/>
    </row>
    <row r="209" spans="1:19">
      <c r="A209" s="253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  <c r="O209" s="241"/>
      <c r="P209" s="241"/>
      <c r="Q209" s="242"/>
      <c r="R209" s="233"/>
      <c r="S209" s="233"/>
    </row>
    <row r="210" spans="1:19">
      <c r="A210" s="253"/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  <c r="O210" s="241"/>
      <c r="P210" s="241"/>
      <c r="Q210" s="242"/>
      <c r="R210" s="233"/>
      <c r="S210" s="233"/>
    </row>
    <row r="211" spans="1:19">
      <c r="A211" s="253"/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  <c r="O211" s="241"/>
      <c r="P211" s="241"/>
      <c r="Q211" s="242"/>
      <c r="R211" s="233"/>
      <c r="S211" s="233"/>
    </row>
    <row r="212" spans="1:19">
      <c r="A212" s="253"/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  <c r="O212" s="241"/>
      <c r="P212" s="241"/>
      <c r="Q212" s="242"/>
      <c r="R212" s="233"/>
      <c r="S212" s="233"/>
    </row>
    <row r="213" spans="1:19">
      <c r="A213" s="253"/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  <c r="O213" s="241"/>
      <c r="P213" s="241"/>
      <c r="Q213" s="242"/>
      <c r="R213" s="233"/>
      <c r="S213" s="233"/>
    </row>
    <row r="214" spans="1:19">
      <c r="A214" s="253"/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  <c r="O214" s="241"/>
      <c r="P214" s="241"/>
      <c r="Q214" s="242"/>
      <c r="R214" s="233"/>
      <c r="S214" s="233"/>
    </row>
    <row r="215" spans="1:19">
      <c r="A215" s="253"/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  <c r="O215" s="241"/>
      <c r="P215" s="241"/>
      <c r="Q215" s="242"/>
      <c r="R215" s="233"/>
      <c r="S215" s="233"/>
    </row>
    <row r="216" spans="1:19">
      <c r="A216" s="253"/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  <c r="O216" s="241"/>
      <c r="P216" s="241"/>
      <c r="Q216" s="242"/>
      <c r="R216" s="233"/>
      <c r="S216" s="233"/>
    </row>
    <row r="217" spans="1:19">
      <c r="A217" s="253"/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  <c r="O217" s="241"/>
      <c r="P217" s="241"/>
      <c r="Q217" s="242"/>
      <c r="R217" s="233"/>
      <c r="S217" s="233"/>
    </row>
    <row r="218" spans="1:19">
      <c r="A218" s="253"/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  <c r="O218" s="241"/>
      <c r="P218" s="241"/>
      <c r="Q218" s="242"/>
      <c r="R218" s="233"/>
      <c r="S218" s="233"/>
    </row>
    <row r="219" spans="1:19">
      <c r="A219" s="253"/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  <c r="O219" s="241"/>
      <c r="P219" s="241"/>
      <c r="Q219" s="242"/>
      <c r="R219" s="233"/>
      <c r="S219" s="233"/>
    </row>
    <row r="220" spans="1:19">
      <c r="A220" s="253"/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  <c r="O220" s="241"/>
      <c r="P220" s="241"/>
      <c r="Q220" s="242"/>
      <c r="R220" s="233"/>
      <c r="S220" s="233"/>
    </row>
    <row r="221" spans="1:19">
      <c r="A221" s="253"/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  <c r="O221" s="241"/>
      <c r="P221" s="241"/>
      <c r="Q221" s="242"/>
      <c r="R221" s="233"/>
      <c r="S221" s="233"/>
    </row>
    <row r="222" spans="1:19">
      <c r="A222" s="253"/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  <c r="O222" s="241"/>
      <c r="P222" s="241"/>
      <c r="Q222" s="242"/>
      <c r="R222" s="233"/>
      <c r="S222" s="233"/>
    </row>
    <row r="223" spans="1:19">
      <c r="A223" s="253"/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  <c r="O223" s="241"/>
      <c r="P223" s="241"/>
      <c r="Q223" s="242"/>
      <c r="R223" s="233"/>
      <c r="S223" s="233"/>
    </row>
    <row r="224" spans="1:19">
      <c r="A224" s="253"/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  <c r="O224" s="241"/>
      <c r="P224" s="241"/>
      <c r="Q224" s="242"/>
      <c r="R224" s="233"/>
      <c r="S224" s="233"/>
    </row>
    <row r="225" spans="1:19">
      <c r="A225" s="253"/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  <c r="O225" s="241"/>
      <c r="P225" s="241"/>
      <c r="Q225" s="242"/>
      <c r="R225" s="233"/>
      <c r="S225" s="233"/>
    </row>
    <row r="226" spans="1:19">
      <c r="A226" s="253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  <c r="O226" s="241"/>
      <c r="P226" s="241"/>
      <c r="Q226" s="242"/>
      <c r="R226" s="233"/>
      <c r="S226" s="233"/>
    </row>
    <row r="227" spans="1:19">
      <c r="A227" s="253"/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  <c r="O227" s="241"/>
      <c r="P227" s="241"/>
      <c r="Q227" s="242"/>
      <c r="R227" s="233"/>
      <c r="S227" s="233"/>
    </row>
    <row r="228" spans="1:19">
      <c r="A228" s="253"/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  <c r="O228" s="241"/>
      <c r="P228" s="241"/>
      <c r="Q228" s="242"/>
      <c r="R228" s="233"/>
      <c r="S228" s="233"/>
    </row>
    <row r="229" spans="1:19">
      <c r="A229" s="253"/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  <c r="O229" s="241"/>
      <c r="P229" s="241"/>
      <c r="Q229" s="242"/>
      <c r="R229" s="233"/>
      <c r="S229" s="233"/>
    </row>
    <row r="230" spans="1:19">
      <c r="A230" s="253"/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  <c r="O230" s="241"/>
      <c r="P230" s="241"/>
      <c r="Q230" s="242"/>
      <c r="R230" s="233"/>
      <c r="S230" s="233"/>
    </row>
    <row r="231" spans="1:19">
      <c r="A231" s="253"/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  <c r="O231" s="241"/>
      <c r="P231" s="241"/>
      <c r="Q231" s="242"/>
      <c r="R231" s="233"/>
      <c r="S231" s="233"/>
    </row>
    <row r="232" spans="1:19">
      <c r="A232" s="253"/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  <c r="O232" s="241"/>
      <c r="P232" s="241"/>
      <c r="Q232" s="242"/>
      <c r="R232" s="233"/>
      <c r="S232" s="233"/>
    </row>
    <row r="233" spans="1:19">
      <c r="A233" s="253"/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  <c r="O233" s="241"/>
      <c r="P233" s="241"/>
      <c r="Q233" s="242"/>
      <c r="R233" s="233"/>
      <c r="S233" s="233"/>
    </row>
    <row r="234" spans="1:19">
      <c r="A234" s="253"/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2"/>
      <c r="R234" s="233"/>
      <c r="S234" s="233"/>
    </row>
    <row r="235" spans="1:19">
      <c r="A235" s="253"/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  <c r="O235" s="241"/>
      <c r="P235" s="241"/>
      <c r="Q235" s="242"/>
      <c r="R235" s="233"/>
      <c r="S235" s="233"/>
    </row>
    <row r="236" spans="1:19">
      <c r="A236" s="253"/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  <c r="O236" s="241"/>
      <c r="P236" s="241"/>
      <c r="Q236" s="242"/>
      <c r="R236" s="233"/>
      <c r="S236" s="233"/>
    </row>
    <row r="237" spans="1:19">
      <c r="A237" s="253"/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  <c r="O237" s="241"/>
      <c r="P237" s="241"/>
      <c r="Q237" s="242"/>
      <c r="R237" s="233"/>
      <c r="S237" s="233"/>
    </row>
    <row r="238" spans="1:19">
      <c r="A238" s="253"/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  <c r="O238" s="241"/>
      <c r="P238" s="241"/>
      <c r="Q238" s="242"/>
      <c r="R238" s="233"/>
      <c r="S238" s="233"/>
    </row>
    <row r="239" spans="1:19">
      <c r="A239" s="253"/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  <c r="O239" s="241"/>
      <c r="P239" s="241"/>
      <c r="Q239" s="242"/>
      <c r="R239" s="233"/>
      <c r="S239" s="233"/>
    </row>
    <row r="240" spans="1:19">
      <c r="A240" s="253"/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  <c r="O240" s="241"/>
      <c r="P240" s="241"/>
      <c r="Q240" s="242"/>
      <c r="R240" s="233"/>
      <c r="S240" s="233"/>
    </row>
    <row r="241" spans="1:19">
      <c r="A241" s="253"/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  <c r="O241" s="241"/>
      <c r="P241" s="241"/>
      <c r="Q241" s="242"/>
      <c r="R241" s="233"/>
      <c r="S241" s="233"/>
    </row>
    <row r="242" spans="1:19">
      <c r="A242" s="253"/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  <c r="O242" s="241"/>
      <c r="P242" s="241"/>
      <c r="Q242" s="242"/>
      <c r="R242" s="233"/>
      <c r="S242" s="233"/>
    </row>
    <row r="243" spans="1:19">
      <c r="A243" s="253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  <c r="O243" s="241"/>
      <c r="P243" s="241"/>
      <c r="Q243" s="242"/>
      <c r="R243" s="233"/>
      <c r="S243" s="233"/>
    </row>
    <row r="244" spans="1:19">
      <c r="A244" s="253"/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  <c r="O244" s="241"/>
      <c r="P244" s="241"/>
      <c r="Q244" s="242"/>
      <c r="R244" s="233"/>
      <c r="S244" s="233"/>
    </row>
    <row r="245" spans="1:19">
      <c r="A245" s="253"/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  <c r="O245" s="241"/>
      <c r="P245" s="241"/>
      <c r="Q245" s="242"/>
      <c r="R245" s="233"/>
      <c r="S245" s="233"/>
    </row>
    <row r="246" spans="1:19">
      <c r="A246" s="253"/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  <c r="O246" s="241"/>
      <c r="P246" s="241"/>
      <c r="Q246" s="242"/>
      <c r="R246" s="233"/>
      <c r="S246" s="233"/>
    </row>
    <row r="247" spans="1:19">
      <c r="A247" s="253"/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  <c r="O247" s="241"/>
      <c r="P247" s="241"/>
      <c r="Q247" s="242"/>
      <c r="R247" s="233"/>
      <c r="S247" s="233"/>
    </row>
    <row r="248" spans="1:19">
      <c r="A248" s="253"/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  <c r="O248" s="241"/>
      <c r="P248" s="241"/>
      <c r="Q248" s="242"/>
      <c r="R248" s="233"/>
      <c r="S248" s="233"/>
    </row>
    <row r="249" spans="1:19">
      <c r="A249" s="253"/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  <c r="O249" s="241"/>
      <c r="P249" s="241"/>
      <c r="Q249" s="242"/>
      <c r="R249" s="233"/>
      <c r="S249" s="233"/>
    </row>
    <row r="250" spans="1:19">
      <c r="A250" s="253"/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  <c r="O250" s="241"/>
      <c r="P250" s="241"/>
      <c r="Q250" s="242"/>
      <c r="R250" s="233"/>
      <c r="S250" s="233"/>
    </row>
    <row r="251" spans="1:19">
      <c r="A251" s="253"/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  <c r="O251" s="241"/>
      <c r="P251" s="241"/>
      <c r="Q251" s="242"/>
      <c r="R251" s="233"/>
      <c r="S251" s="233"/>
    </row>
    <row r="252" spans="1:19">
      <c r="A252" s="253"/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  <c r="O252" s="241"/>
      <c r="P252" s="241"/>
      <c r="Q252" s="242"/>
      <c r="R252" s="233"/>
      <c r="S252" s="233"/>
    </row>
    <row r="253" spans="1:19">
      <c r="A253" s="253"/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  <c r="O253" s="241"/>
      <c r="P253" s="241"/>
      <c r="Q253" s="242"/>
      <c r="R253" s="233"/>
      <c r="S253" s="233"/>
    </row>
    <row r="254" spans="1:19">
      <c r="A254" s="253"/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  <c r="O254" s="241"/>
      <c r="P254" s="241"/>
      <c r="Q254" s="242"/>
      <c r="R254" s="233"/>
      <c r="S254" s="233"/>
    </row>
    <row r="255" spans="1:19">
      <c r="A255" s="253"/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  <c r="O255" s="241"/>
      <c r="P255" s="241"/>
      <c r="Q255" s="242"/>
      <c r="R255" s="233"/>
      <c r="S255" s="233"/>
    </row>
    <row r="256" spans="1:19">
      <c r="A256" s="253"/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  <c r="O256" s="241"/>
      <c r="P256" s="241"/>
      <c r="Q256" s="242"/>
      <c r="R256" s="233"/>
      <c r="S256" s="233"/>
    </row>
    <row r="257" spans="1:19">
      <c r="A257" s="253"/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  <c r="O257" s="241"/>
      <c r="P257" s="241"/>
      <c r="Q257" s="242"/>
      <c r="R257" s="233"/>
      <c r="S257" s="233"/>
    </row>
    <row r="258" spans="1:19">
      <c r="A258" s="253"/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  <c r="O258" s="241"/>
      <c r="P258" s="241"/>
      <c r="Q258" s="242"/>
      <c r="R258" s="233"/>
      <c r="S258" s="233"/>
    </row>
    <row r="259" spans="1:19">
      <c r="A259" s="253"/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  <c r="O259" s="241"/>
      <c r="P259" s="241"/>
      <c r="Q259" s="242"/>
      <c r="R259" s="233"/>
      <c r="S259" s="233"/>
    </row>
    <row r="260" spans="1:19">
      <c r="A260" s="253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  <c r="O260" s="241"/>
      <c r="P260" s="241"/>
      <c r="Q260" s="242"/>
      <c r="R260" s="233"/>
      <c r="S260" s="233"/>
    </row>
    <row r="261" spans="1:19">
      <c r="A261" s="253"/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  <c r="O261" s="241"/>
      <c r="P261" s="241"/>
      <c r="Q261" s="242"/>
      <c r="R261" s="233"/>
      <c r="S261" s="233"/>
    </row>
    <row r="262" spans="1:19">
      <c r="A262" s="253"/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  <c r="O262" s="241"/>
      <c r="P262" s="241"/>
      <c r="Q262" s="242"/>
      <c r="R262" s="233"/>
      <c r="S262" s="233"/>
    </row>
    <row r="263" spans="1:19">
      <c r="A263" s="253"/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  <c r="O263" s="241"/>
      <c r="P263" s="241"/>
      <c r="Q263" s="242"/>
      <c r="R263" s="233"/>
      <c r="S263" s="233"/>
    </row>
    <row r="264" spans="1:19">
      <c r="A264" s="253"/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  <c r="O264" s="241"/>
      <c r="P264" s="241"/>
      <c r="Q264" s="242"/>
      <c r="R264" s="233"/>
      <c r="S264" s="233"/>
    </row>
    <row r="265" spans="1:19">
      <c r="A265" s="253"/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  <c r="O265" s="241"/>
      <c r="P265" s="241"/>
      <c r="Q265" s="242"/>
      <c r="R265" s="233"/>
      <c r="S265" s="233"/>
    </row>
    <row r="266" spans="1:19">
      <c r="A266" s="253"/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  <c r="O266" s="241"/>
      <c r="P266" s="241"/>
      <c r="Q266" s="242"/>
      <c r="R266" s="233"/>
      <c r="S266" s="233"/>
    </row>
    <row r="267" spans="1:19">
      <c r="A267" s="253"/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  <c r="O267" s="241"/>
      <c r="P267" s="241"/>
      <c r="Q267" s="242"/>
      <c r="R267" s="233"/>
      <c r="S267" s="233"/>
    </row>
    <row r="268" spans="1:19">
      <c r="A268" s="253"/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  <c r="O268" s="241"/>
      <c r="P268" s="241"/>
      <c r="Q268" s="242"/>
      <c r="R268" s="233"/>
      <c r="S268" s="233"/>
    </row>
    <row r="269" spans="1:19">
      <c r="A269" s="253"/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  <c r="O269" s="241"/>
      <c r="P269" s="241"/>
      <c r="Q269" s="242"/>
      <c r="R269" s="233"/>
      <c r="S269" s="233"/>
    </row>
    <row r="270" spans="1:19">
      <c r="A270" s="253"/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  <c r="O270" s="241"/>
      <c r="P270" s="241"/>
      <c r="Q270" s="242"/>
      <c r="R270" s="233"/>
      <c r="S270" s="233"/>
    </row>
    <row r="271" spans="1:19">
      <c r="A271" s="253"/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  <c r="O271" s="241"/>
      <c r="P271" s="241"/>
      <c r="Q271" s="242"/>
      <c r="R271" s="233"/>
      <c r="S271" s="233"/>
    </row>
    <row r="272" spans="1:19">
      <c r="A272" s="253"/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  <c r="O272" s="241"/>
      <c r="P272" s="241"/>
      <c r="Q272" s="242"/>
      <c r="R272" s="233"/>
      <c r="S272" s="233"/>
    </row>
    <row r="273" spans="1:19">
      <c r="A273" s="253"/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  <c r="O273" s="241"/>
      <c r="P273" s="241"/>
      <c r="Q273" s="242"/>
      <c r="R273" s="233"/>
      <c r="S273" s="233"/>
    </row>
    <row r="274" spans="1:19">
      <c r="A274" s="253"/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  <c r="O274" s="241"/>
      <c r="P274" s="241"/>
      <c r="Q274" s="242"/>
      <c r="R274" s="233"/>
      <c r="S274" s="233"/>
    </row>
    <row r="275" spans="1:19">
      <c r="A275" s="253"/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  <c r="O275" s="241"/>
      <c r="P275" s="241"/>
      <c r="Q275" s="242"/>
      <c r="R275" s="233"/>
      <c r="S275" s="233"/>
    </row>
    <row r="276" spans="1:19">
      <c r="A276" s="253"/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  <c r="O276" s="241"/>
      <c r="P276" s="241"/>
      <c r="Q276" s="242"/>
      <c r="R276" s="233"/>
      <c r="S276" s="233"/>
    </row>
    <row r="277" spans="1:19">
      <c r="A277" s="253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  <c r="O277" s="241"/>
      <c r="P277" s="241"/>
      <c r="Q277" s="242"/>
      <c r="R277" s="233"/>
      <c r="S277" s="233"/>
    </row>
    <row r="278" spans="1:19">
      <c r="A278" s="253"/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  <c r="O278" s="241"/>
      <c r="P278" s="241"/>
      <c r="Q278" s="242"/>
      <c r="R278" s="233"/>
      <c r="S278" s="233"/>
    </row>
    <row r="279" spans="1:19">
      <c r="A279" s="253"/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  <c r="O279" s="241"/>
      <c r="P279" s="241"/>
      <c r="Q279" s="242"/>
      <c r="R279" s="233"/>
      <c r="S279" s="233"/>
    </row>
    <row r="280" spans="1:19">
      <c r="A280" s="253"/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  <c r="O280" s="241"/>
      <c r="P280" s="241"/>
      <c r="Q280" s="242"/>
      <c r="R280" s="233"/>
      <c r="S280" s="233"/>
    </row>
    <row r="281" spans="1:19">
      <c r="A281" s="253"/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  <c r="O281" s="241"/>
      <c r="P281" s="241"/>
      <c r="Q281" s="242"/>
      <c r="R281" s="233"/>
      <c r="S281" s="233"/>
    </row>
    <row r="282" spans="1:19">
      <c r="A282" s="253"/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  <c r="O282" s="241"/>
      <c r="P282" s="241"/>
      <c r="Q282" s="242"/>
      <c r="R282" s="233"/>
      <c r="S282" s="233"/>
    </row>
    <row r="283" spans="1:19">
      <c r="A283" s="253"/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  <c r="O283" s="241"/>
      <c r="P283" s="241"/>
      <c r="Q283" s="242"/>
      <c r="R283" s="233"/>
      <c r="S283" s="233"/>
    </row>
    <row r="284" spans="1:19">
      <c r="A284" s="253"/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  <c r="O284" s="241"/>
      <c r="P284" s="241"/>
      <c r="Q284" s="242"/>
      <c r="R284" s="233"/>
      <c r="S284" s="233"/>
    </row>
    <row r="285" spans="1:19">
      <c r="A285" s="253"/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  <c r="O285" s="241"/>
      <c r="P285" s="241"/>
      <c r="Q285" s="242"/>
      <c r="R285" s="233"/>
      <c r="S285" s="233"/>
    </row>
    <row r="286" spans="1:19">
      <c r="A286" s="253"/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  <c r="O286" s="241"/>
      <c r="P286" s="241"/>
      <c r="Q286" s="242"/>
      <c r="R286" s="233"/>
      <c r="S286" s="233"/>
    </row>
    <row r="287" spans="1:19">
      <c r="A287" s="253"/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  <c r="O287" s="241"/>
      <c r="P287" s="241"/>
      <c r="Q287" s="242"/>
      <c r="R287" s="233"/>
      <c r="S287" s="233"/>
    </row>
    <row r="288" spans="1:19">
      <c r="A288" s="253"/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  <c r="O288" s="241"/>
      <c r="P288" s="241"/>
      <c r="Q288" s="242"/>
      <c r="R288" s="233"/>
      <c r="S288" s="233"/>
    </row>
    <row r="289" spans="1:19">
      <c r="A289" s="253"/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  <c r="O289" s="241"/>
      <c r="P289" s="241"/>
      <c r="Q289" s="242"/>
      <c r="R289" s="233"/>
      <c r="S289" s="233"/>
    </row>
    <row r="290" spans="1:19">
      <c r="A290" s="253"/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  <c r="O290" s="241"/>
      <c r="P290" s="241"/>
      <c r="Q290" s="242"/>
      <c r="R290" s="233"/>
      <c r="S290" s="233"/>
    </row>
    <row r="291" spans="1:19">
      <c r="A291" s="253"/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  <c r="O291" s="241"/>
      <c r="P291" s="241"/>
      <c r="Q291" s="242"/>
      <c r="R291" s="233"/>
      <c r="S291" s="233"/>
    </row>
    <row r="292" spans="1:19">
      <c r="A292" s="253"/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  <c r="O292" s="241"/>
      <c r="P292" s="241"/>
      <c r="Q292" s="242"/>
      <c r="R292" s="233"/>
      <c r="S292" s="233"/>
    </row>
    <row r="293" spans="1:19">
      <c r="A293" s="253"/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  <c r="O293" s="241"/>
      <c r="P293" s="241"/>
      <c r="Q293" s="242"/>
      <c r="R293" s="233"/>
      <c r="S293" s="233"/>
    </row>
    <row r="294" spans="1:19">
      <c r="A294" s="253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  <c r="O294" s="241"/>
      <c r="P294" s="241"/>
      <c r="Q294" s="242"/>
      <c r="R294" s="233"/>
      <c r="S294" s="233"/>
    </row>
    <row r="295" spans="1:19">
      <c r="A295" s="253"/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  <c r="O295" s="241"/>
      <c r="P295" s="241"/>
      <c r="Q295" s="242"/>
      <c r="R295" s="233"/>
      <c r="S295" s="233"/>
    </row>
    <row r="296" spans="1:19">
      <c r="A296" s="253"/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  <c r="O296" s="241"/>
      <c r="P296" s="241"/>
      <c r="Q296" s="242"/>
      <c r="R296" s="233"/>
      <c r="S296" s="233"/>
    </row>
    <row r="297" spans="1:19">
      <c r="A297" s="253"/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  <c r="O297" s="241"/>
      <c r="P297" s="241"/>
      <c r="Q297" s="242"/>
      <c r="R297" s="233"/>
      <c r="S297" s="233"/>
    </row>
    <row r="298" spans="1:19">
      <c r="A298" s="253"/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  <c r="O298" s="241"/>
      <c r="P298" s="241"/>
      <c r="Q298" s="242"/>
      <c r="R298" s="233"/>
      <c r="S298" s="233"/>
    </row>
    <row r="299" spans="1:19">
      <c r="A299" s="253"/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  <c r="O299" s="241"/>
      <c r="P299" s="241"/>
      <c r="Q299" s="242"/>
      <c r="R299" s="233"/>
      <c r="S299" s="233"/>
    </row>
    <row r="300" spans="1:19">
      <c r="A300" s="253"/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  <c r="O300" s="241"/>
      <c r="P300" s="241"/>
      <c r="Q300" s="242"/>
      <c r="R300" s="233"/>
      <c r="S300" s="233"/>
    </row>
    <row r="301" spans="1:19" ht="16" thickBot="1">
      <c r="A301" s="25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4"/>
      <c r="R301" s="233"/>
      <c r="S301" s="233"/>
    </row>
    <row r="302" spans="1:19">
      <c r="A302" s="254"/>
      <c r="B302" s="245"/>
      <c r="C302" s="245"/>
      <c r="D302" s="245"/>
      <c r="E302" s="245"/>
      <c r="F302" s="245"/>
      <c r="G302" s="245"/>
      <c r="H302" s="245"/>
      <c r="I302" s="245"/>
      <c r="J302" s="245"/>
      <c r="K302" s="245"/>
      <c r="L302" s="245"/>
      <c r="M302" s="245"/>
      <c r="N302" s="245"/>
      <c r="O302" s="245"/>
      <c r="P302" s="245"/>
      <c r="Q302" s="245"/>
      <c r="R302" s="233"/>
      <c r="S302" s="233"/>
    </row>
    <row r="303" spans="1:19">
      <c r="A303" s="254"/>
      <c r="B303" s="245"/>
      <c r="C303" s="245"/>
      <c r="D303" s="245"/>
      <c r="E303" s="245"/>
      <c r="F303" s="245"/>
      <c r="G303" s="245"/>
      <c r="H303" s="245"/>
      <c r="I303" s="245"/>
      <c r="J303" s="245"/>
      <c r="K303" s="245"/>
      <c r="L303" s="245"/>
      <c r="M303" s="245"/>
      <c r="N303" s="245"/>
      <c r="O303" s="245"/>
      <c r="P303" s="245"/>
      <c r="Q303" s="245"/>
      <c r="R303" s="233"/>
      <c r="S303" s="233"/>
    </row>
    <row r="304" spans="1:19">
      <c r="A304" s="254"/>
      <c r="B304" s="245"/>
      <c r="C304" s="245"/>
      <c r="D304" s="245"/>
      <c r="E304" s="245"/>
      <c r="F304" s="245"/>
      <c r="G304" s="245"/>
      <c r="H304" s="245"/>
      <c r="I304" s="245"/>
      <c r="J304" s="245"/>
      <c r="K304" s="245"/>
      <c r="L304" s="245"/>
      <c r="M304" s="245"/>
      <c r="N304" s="245"/>
      <c r="O304" s="245"/>
      <c r="P304" s="245"/>
      <c r="Q304" s="245"/>
      <c r="R304" s="233"/>
      <c r="S304" s="233"/>
    </row>
    <row r="305" spans="1:19">
      <c r="A305" s="254"/>
      <c r="B305" s="245"/>
      <c r="C305" s="245"/>
      <c r="D305" s="245"/>
      <c r="E305" s="245"/>
      <c r="F305" s="245"/>
      <c r="G305" s="245"/>
      <c r="H305" s="245"/>
      <c r="I305" s="245"/>
      <c r="J305" s="245"/>
      <c r="K305" s="245"/>
      <c r="L305" s="245"/>
      <c r="M305" s="245"/>
      <c r="N305" s="245"/>
      <c r="O305" s="245"/>
      <c r="P305" s="245"/>
      <c r="Q305" s="245"/>
      <c r="R305" s="233"/>
      <c r="S305" s="2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>
    <tabColor theme="6" tint="0.59999389629810485"/>
  </sheetPr>
  <dimension ref="A1:S305"/>
  <sheetViews>
    <sheetView zoomScale="70" zoomScaleNormal="70" workbookViewId="0">
      <selection activeCell="A3" sqref="A3"/>
    </sheetView>
  </sheetViews>
  <sheetFormatPr defaultRowHeight="15.5"/>
  <cols>
    <col min="1" max="1" width="16.81640625" style="232" bestFit="1" customWidth="1"/>
    <col min="2" max="2" width="9.81640625" style="246" bestFit="1" customWidth="1"/>
    <col min="3" max="12" width="8.7265625" style="246"/>
    <col min="13" max="13" width="7.7265625" style="246" customWidth="1"/>
    <col min="14" max="17" width="8.7265625" style="246"/>
    <col min="18" max="16384" width="8.7265625" style="232"/>
  </cols>
  <sheetData>
    <row r="1" spans="1:19" ht="30" customHeight="1" thickBot="1">
      <c r="A1" s="247" t="s">
        <v>225</v>
      </c>
      <c r="B1" s="236"/>
      <c r="C1" s="236"/>
      <c r="D1" s="236"/>
      <c r="E1" s="236"/>
      <c r="F1" s="236"/>
      <c r="G1" s="236"/>
      <c r="H1" s="237"/>
      <c r="I1" s="237"/>
      <c r="J1" s="237"/>
      <c r="K1" s="237"/>
      <c r="L1" s="237"/>
      <c r="M1" s="237"/>
      <c r="N1" s="237"/>
      <c r="O1" s="237"/>
      <c r="P1" s="237"/>
      <c r="Q1" s="238"/>
      <c r="R1" s="233"/>
      <c r="S1" s="233"/>
    </row>
    <row r="2" spans="1:19" ht="17">
      <c r="A2" s="234" t="s">
        <v>206</v>
      </c>
      <c r="B2" s="239" t="s">
        <v>207</v>
      </c>
      <c r="C2" s="239" t="s">
        <v>208</v>
      </c>
      <c r="D2" s="239" t="s">
        <v>209</v>
      </c>
      <c r="E2" s="239" t="s">
        <v>210</v>
      </c>
      <c r="F2" s="239" t="s">
        <v>211</v>
      </c>
      <c r="G2" s="239" t="s">
        <v>212</v>
      </c>
      <c r="H2" s="239" t="s">
        <v>213</v>
      </c>
      <c r="I2" s="239" t="s">
        <v>214</v>
      </c>
      <c r="J2" s="239" t="s">
        <v>215</v>
      </c>
      <c r="K2" s="239" t="s">
        <v>216</v>
      </c>
      <c r="L2" s="239" t="s">
        <v>217</v>
      </c>
      <c r="M2" s="239" t="s">
        <v>218</v>
      </c>
      <c r="N2" s="239" t="s">
        <v>219</v>
      </c>
      <c r="O2" s="239" t="s">
        <v>220</v>
      </c>
      <c r="P2" s="239" t="s">
        <v>221</v>
      </c>
      <c r="Q2" s="240" t="s">
        <v>222</v>
      </c>
      <c r="R2" s="233"/>
      <c r="S2" s="233"/>
    </row>
    <row r="3" spans="1:19">
      <c r="A3" s="66"/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2"/>
      <c r="R3" s="233"/>
      <c r="S3" s="233"/>
    </row>
    <row r="4" spans="1:19">
      <c r="A4" s="62"/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2"/>
      <c r="R4" s="233"/>
      <c r="S4" s="233"/>
    </row>
    <row r="5" spans="1:19">
      <c r="A5" s="66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2"/>
      <c r="R5" s="233"/>
      <c r="S5" s="233"/>
    </row>
    <row r="6" spans="1:19">
      <c r="A6" s="235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2"/>
      <c r="R6" s="233"/>
      <c r="S6" s="233"/>
    </row>
    <row r="7" spans="1:19">
      <c r="A7" s="235"/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2"/>
      <c r="R7" s="233"/>
      <c r="S7" s="233"/>
    </row>
    <row r="8" spans="1:19">
      <c r="A8" s="235"/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2"/>
      <c r="R8" s="233"/>
      <c r="S8" s="233"/>
    </row>
    <row r="9" spans="1:19">
      <c r="A9" s="235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2"/>
      <c r="R9" s="233"/>
      <c r="S9" s="233"/>
    </row>
    <row r="10" spans="1:19">
      <c r="A10" s="235"/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2"/>
      <c r="R10" s="233"/>
      <c r="S10" s="233"/>
    </row>
    <row r="11" spans="1:19">
      <c r="A11" s="235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2"/>
      <c r="R11" s="233"/>
      <c r="S11" s="233"/>
    </row>
    <row r="12" spans="1:19">
      <c r="A12" s="235"/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  <c r="O12" s="241"/>
      <c r="P12" s="241"/>
      <c r="Q12" s="242"/>
      <c r="R12" s="233"/>
      <c r="S12" s="233"/>
    </row>
    <row r="13" spans="1:19">
      <c r="A13" s="235"/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2"/>
      <c r="R13" s="233"/>
      <c r="S13" s="233"/>
    </row>
    <row r="14" spans="1:19">
      <c r="A14" s="235"/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  <c r="O14" s="241"/>
      <c r="P14" s="241"/>
      <c r="Q14" s="242"/>
      <c r="R14" s="233"/>
      <c r="S14" s="233"/>
    </row>
    <row r="15" spans="1:19">
      <c r="A15" s="235"/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2"/>
      <c r="R15" s="233"/>
      <c r="S15" s="233"/>
    </row>
    <row r="16" spans="1:19">
      <c r="A16" s="235"/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2"/>
      <c r="R16" s="233"/>
      <c r="S16" s="233"/>
    </row>
    <row r="17" spans="1:19">
      <c r="A17" s="235"/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2"/>
      <c r="R17" s="233"/>
      <c r="S17" s="233"/>
    </row>
    <row r="18" spans="1:19">
      <c r="A18" s="235"/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2"/>
      <c r="R18" s="233"/>
      <c r="S18" s="233"/>
    </row>
    <row r="19" spans="1:19">
      <c r="A19" s="235"/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2"/>
      <c r="R19" s="233"/>
      <c r="S19" s="233"/>
    </row>
    <row r="20" spans="1:19">
      <c r="A20" s="235"/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2"/>
      <c r="R20" s="233"/>
      <c r="S20" s="233"/>
    </row>
    <row r="21" spans="1:19">
      <c r="A21" s="235"/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2"/>
      <c r="R21" s="233"/>
      <c r="S21" s="233"/>
    </row>
    <row r="22" spans="1:19">
      <c r="A22" s="235"/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2"/>
      <c r="R22" s="233"/>
      <c r="S22" s="233"/>
    </row>
    <row r="23" spans="1:19">
      <c r="A23" s="235"/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2"/>
      <c r="R23" s="233"/>
      <c r="S23" s="233"/>
    </row>
    <row r="24" spans="1:19">
      <c r="A24" s="235"/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  <c r="O24" s="241"/>
      <c r="P24" s="241"/>
      <c r="Q24" s="242"/>
      <c r="R24" s="233"/>
      <c r="S24" s="233"/>
    </row>
    <row r="25" spans="1:19">
      <c r="A25" s="235"/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2"/>
      <c r="R25" s="233"/>
      <c r="S25" s="233"/>
    </row>
    <row r="26" spans="1:19">
      <c r="A26" s="235"/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  <c r="O26" s="241"/>
      <c r="P26" s="241"/>
      <c r="Q26" s="242"/>
      <c r="R26" s="233"/>
      <c r="S26" s="233"/>
    </row>
    <row r="27" spans="1:19">
      <c r="A27" s="235"/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  <c r="O27" s="241"/>
      <c r="P27" s="241"/>
      <c r="Q27" s="242"/>
      <c r="R27" s="233"/>
      <c r="S27" s="233"/>
    </row>
    <row r="28" spans="1:19">
      <c r="A28" s="235"/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  <c r="O28" s="241"/>
      <c r="P28" s="241"/>
      <c r="Q28" s="242"/>
      <c r="R28" s="233"/>
      <c r="S28" s="233"/>
    </row>
    <row r="29" spans="1:19">
      <c r="A29" s="235"/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  <c r="O29" s="241"/>
      <c r="P29" s="241"/>
      <c r="Q29" s="242"/>
      <c r="R29" s="233"/>
      <c r="S29" s="233"/>
    </row>
    <row r="30" spans="1:19">
      <c r="A30" s="235"/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2"/>
      <c r="R30" s="233"/>
      <c r="S30" s="233"/>
    </row>
    <row r="31" spans="1:19">
      <c r="A31" s="235"/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2"/>
      <c r="R31" s="233"/>
      <c r="S31" s="233"/>
    </row>
    <row r="32" spans="1:19">
      <c r="A32" s="235"/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2"/>
      <c r="R32" s="233"/>
      <c r="S32" s="233"/>
    </row>
    <row r="33" spans="1:19">
      <c r="A33" s="235"/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2"/>
      <c r="R33" s="233"/>
      <c r="S33" s="233"/>
    </row>
    <row r="34" spans="1:19">
      <c r="A34" s="235"/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2"/>
      <c r="R34" s="233"/>
      <c r="S34" s="233"/>
    </row>
    <row r="35" spans="1:19">
      <c r="A35" s="235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2"/>
      <c r="R35" s="233"/>
      <c r="S35" s="233"/>
    </row>
    <row r="36" spans="1:19">
      <c r="A36" s="235"/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2"/>
      <c r="R36" s="233"/>
      <c r="S36" s="233"/>
    </row>
    <row r="37" spans="1:19">
      <c r="A37" s="235"/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2"/>
      <c r="R37" s="233"/>
      <c r="S37" s="233"/>
    </row>
    <row r="38" spans="1:19">
      <c r="A38" s="235"/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2"/>
      <c r="R38" s="233"/>
      <c r="S38" s="233"/>
    </row>
    <row r="39" spans="1:19">
      <c r="A39" s="235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1"/>
      <c r="P39" s="241"/>
      <c r="Q39" s="242"/>
      <c r="R39" s="233"/>
      <c r="S39" s="233"/>
    </row>
    <row r="40" spans="1:19">
      <c r="A40" s="235"/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2"/>
      <c r="R40" s="233"/>
      <c r="S40" s="233"/>
    </row>
    <row r="41" spans="1:19">
      <c r="A41" s="235"/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2"/>
      <c r="R41" s="233"/>
      <c r="S41" s="233"/>
    </row>
    <row r="42" spans="1:19">
      <c r="A42" s="235"/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2"/>
      <c r="R42" s="233"/>
      <c r="S42" s="233"/>
    </row>
    <row r="43" spans="1:19">
      <c r="A43" s="235"/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2"/>
      <c r="R43" s="233"/>
      <c r="S43" s="233"/>
    </row>
    <row r="44" spans="1:19">
      <c r="A44" s="235"/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2"/>
      <c r="R44" s="233"/>
      <c r="S44" s="233"/>
    </row>
    <row r="45" spans="1:19">
      <c r="A45" s="235"/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2"/>
      <c r="R45" s="233"/>
      <c r="S45" s="233"/>
    </row>
    <row r="46" spans="1:19">
      <c r="A46" s="235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2"/>
      <c r="R46" s="233"/>
      <c r="S46" s="233"/>
    </row>
    <row r="47" spans="1:19">
      <c r="A47" s="235"/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  <c r="R47" s="233"/>
      <c r="S47" s="233"/>
    </row>
    <row r="48" spans="1:19">
      <c r="A48" s="235"/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2"/>
      <c r="R48" s="233"/>
      <c r="S48" s="233"/>
    </row>
    <row r="49" spans="1:19">
      <c r="A49" s="235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2"/>
      <c r="R49" s="233"/>
      <c r="S49" s="233"/>
    </row>
    <row r="50" spans="1:19">
      <c r="A50" s="235"/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2"/>
      <c r="R50" s="233"/>
      <c r="S50" s="233"/>
    </row>
    <row r="51" spans="1:19">
      <c r="A51" s="235"/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2"/>
      <c r="R51" s="233"/>
      <c r="S51" s="233"/>
    </row>
    <row r="52" spans="1:19">
      <c r="A52" s="235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2"/>
      <c r="R52" s="233"/>
      <c r="S52" s="233"/>
    </row>
    <row r="53" spans="1:19">
      <c r="A53" s="235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2"/>
      <c r="R53" s="233"/>
      <c r="S53" s="233"/>
    </row>
    <row r="54" spans="1:19">
      <c r="A54" s="235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2"/>
      <c r="R54" s="233"/>
      <c r="S54" s="233"/>
    </row>
    <row r="55" spans="1:19">
      <c r="A55" s="235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2"/>
      <c r="R55" s="233"/>
      <c r="S55" s="233"/>
    </row>
    <row r="56" spans="1:19">
      <c r="A56" s="235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2"/>
      <c r="R56" s="233"/>
      <c r="S56" s="233"/>
    </row>
    <row r="57" spans="1:19">
      <c r="A57" s="235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2"/>
      <c r="R57" s="233"/>
      <c r="S57" s="233"/>
    </row>
    <row r="58" spans="1:19">
      <c r="A58" s="235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2"/>
      <c r="R58" s="233"/>
      <c r="S58" s="233"/>
    </row>
    <row r="59" spans="1:19">
      <c r="A59" s="235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2"/>
      <c r="R59" s="233"/>
      <c r="S59" s="233"/>
    </row>
    <row r="60" spans="1:19">
      <c r="A60" s="235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2"/>
      <c r="R60" s="233"/>
      <c r="S60" s="233"/>
    </row>
    <row r="61" spans="1:19">
      <c r="A61" s="235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2"/>
      <c r="R61" s="233"/>
      <c r="S61" s="233"/>
    </row>
    <row r="62" spans="1:19">
      <c r="A62" s="235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2"/>
      <c r="R62" s="233"/>
      <c r="S62" s="233"/>
    </row>
    <row r="63" spans="1:19">
      <c r="A63" s="235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2"/>
      <c r="R63" s="233"/>
      <c r="S63" s="233"/>
    </row>
    <row r="64" spans="1:19">
      <c r="A64" s="235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2"/>
      <c r="R64" s="233"/>
      <c r="S64" s="233"/>
    </row>
    <row r="65" spans="1:19">
      <c r="A65" s="235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2"/>
      <c r="R65" s="233"/>
      <c r="S65" s="233"/>
    </row>
    <row r="66" spans="1:19">
      <c r="A66" s="235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2"/>
      <c r="R66" s="233"/>
      <c r="S66" s="233"/>
    </row>
    <row r="67" spans="1:19">
      <c r="A67" s="235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2"/>
      <c r="R67" s="233"/>
      <c r="S67" s="233"/>
    </row>
    <row r="68" spans="1:19">
      <c r="A68" s="235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2"/>
      <c r="R68" s="233"/>
      <c r="S68" s="233"/>
    </row>
    <row r="69" spans="1:19">
      <c r="A69" s="235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2"/>
      <c r="R69" s="233"/>
      <c r="S69" s="233"/>
    </row>
    <row r="70" spans="1:19">
      <c r="A70" s="235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2"/>
      <c r="R70" s="233"/>
      <c r="S70" s="233"/>
    </row>
    <row r="71" spans="1:19">
      <c r="A71" s="235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2"/>
      <c r="R71" s="233"/>
      <c r="S71" s="233"/>
    </row>
    <row r="72" spans="1:19">
      <c r="A72" s="235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2"/>
      <c r="R72" s="233"/>
      <c r="S72" s="233"/>
    </row>
    <row r="73" spans="1:19">
      <c r="A73" s="235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2"/>
      <c r="R73" s="233"/>
      <c r="S73" s="233"/>
    </row>
    <row r="74" spans="1:19">
      <c r="A74" s="235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2"/>
      <c r="R74" s="233"/>
      <c r="S74" s="233"/>
    </row>
    <row r="75" spans="1:19">
      <c r="A75" s="235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2"/>
      <c r="R75" s="233"/>
      <c r="S75" s="233"/>
    </row>
    <row r="76" spans="1:19">
      <c r="A76" s="235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2"/>
      <c r="R76" s="233"/>
      <c r="S76" s="233"/>
    </row>
    <row r="77" spans="1:19">
      <c r="A77" s="235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2"/>
      <c r="R77" s="233"/>
      <c r="S77" s="233"/>
    </row>
    <row r="78" spans="1:19">
      <c r="A78" s="235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2"/>
      <c r="R78" s="233"/>
      <c r="S78" s="233"/>
    </row>
    <row r="79" spans="1:19">
      <c r="A79" s="235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2"/>
      <c r="R79" s="233"/>
      <c r="S79" s="233"/>
    </row>
    <row r="80" spans="1:19">
      <c r="A80" s="235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2"/>
      <c r="R80" s="233"/>
      <c r="S80" s="233"/>
    </row>
    <row r="81" spans="1:19">
      <c r="A81" s="235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2"/>
      <c r="R81" s="233"/>
      <c r="S81" s="233"/>
    </row>
    <row r="82" spans="1:19">
      <c r="A82" s="235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2"/>
      <c r="R82" s="233"/>
      <c r="S82" s="233"/>
    </row>
    <row r="83" spans="1:19">
      <c r="A83" s="235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2"/>
      <c r="R83" s="233"/>
      <c r="S83" s="233"/>
    </row>
    <row r="84" spans="1:19">
      <c r="A84" s="235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2"/>
      <c r="R84" s="233"/>
      <c r="S84" s="233"/>
    </row>
    <row r="85" spans="1:19">
      <c r="A85" s="235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2"/>
      <c r="R85" s="233"/>
      <c r="S85" s="233"/>
    </row>
    <row r="86" spans="1:19">
      <c r="A86" s="235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2"/>
      <c r="R86" s="233"/>
      <c r="S86" s="233"/>
    </row>
    <row r="87" spans="1:19">
      <c r="A87" s="235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2"/>
      <c r="R87" s="233"/>
      <c r="S87" s="233"/>
    </row>
    <row r="88" spans="1:19">
      <c r="A88" s="2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2"/>
      <c r="R88" s="233"/>
      <c r="S88" s="233"/>
    </row>
    <row r="89" spans="1:19">
      <c r="A89" s="235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2"/>
      <c r="R89" s="233"/>
      <c r="S89" s="233"/>
    </row>
    <row r="90" spans="1:19">
      <c r="A90" s="235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2"/>
      <c r="R90" s="233"/>
      <c r="S90" s="233"/>
    </row>
    <row r="91" spans="1:19">
      <c r="A91" s="235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2"/>
      <c r="R91" s="233"/>
      <c r="S91" s="233"/>
    </row>
    <row r="92" spans="1:19">
      <c r="A92" s="235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2"/>
      <c r="R92" s="233"/>
      <c r="S92" s="233"/>
    </row>
    <row r="93" spans="1:19">
      <c r="A93" s="235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2"/>
      <c r="R93" s="233"/>
      <c r="S93" s="233"/>
    </row>
    <row r="94" spans="1:19">
      <c r="A94" s="235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2"/>
      <c r="R94" s="233"/>
      <c r="S94" s="233"/>
    </row>
    <row r="95" spans="1:19">
      <c r="A95" s="235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2"/>
      <c r="R95" s="233"/>
      <c r="S95" s="233"/>
    </row>
    <row r="96" spans="1:19">
      <c r="A96" s="235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2"/>
      <c r="R96" s="233"/>
      <c r="S96" s="233"/>
    </row>
    <row r="97" spans="1:19">
      <c r="A97" s="235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2"/>
      <c r="R97" s="233"/>
      <c r="S97" s="233"/>
    </row>
    <row r="98" spans="1:19">
      <c r="A98" s="235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2"/>
      <c r="R98" s="233"/>
      <c r="S98" s="233"/>
    </row>
    <row r="99" spans="1:19">
      <c r="A99" s="235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2"/>
      <c r="R99" s="233"/>
      <c r="S99" s="233"/>
    </row>
    <row r="100" spans="1:19">
      <c r="A100" s="235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2"/>
      <c r="R100" s="233"/>
      <c r="S100" s="233"/>
    </row>
    <row r="101" spans="1:19">
      <c r="A101" s="235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2"/>
      <c r="R101" s="233"/>
      <c r="S101" s="233"/>
    </row>
    <row r="102" spans="1:19">
      <c r="A102" s="235"/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  <c r="O102" s="241"/>
      <c r="P102" s="241"/>
      <c r="Q102" s="242"/>
      <c r="R102" s="233"/>
      <c r="S102" s="233"/>
    </row>
    <row r="103" spans="1:19">
      <c r="A103" s="235"/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  <c r="O103" s="241"/>
      <c r="P103" s="241"/>
      <c r="Q103" s="242"/>
      <c r="R103" s="233"/>
      <c r="S103" s="233"/>
    </row>
    <row r="104" spans="1:19">
      <c r="A104" s="235"/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2"/>
      <c r="R104" s="233"/>
      <c r="S104" s="233"/>
    </row>
    <row r="105" spans="1:19">
      <c r="A105" s="235"/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Q105" s="242"/>
      <c r="R105" s="233"/>
      <c r="S105" s="233"/>
    </row>
    <row r="106" spans="1:19">
      <c r="A106" s="235"/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2"/>
      <c r="R106" s="233"/>
      <c r="S106" s="233"/>
    </row>
    <row r="107" spans="1:19">
      <c r="A107" s="235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2"/>
      <c r="R107" s="233"/>
      <c r="S107" s="233"/>
    </row>
    <row r="108" spans="1:19">
      <c r="A108" s="235"/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  <c r="O108" s="241"/>
      <c r="P108" s="241"/>
      <c r="Q108" s="242"/>
      <c r="R108" s="233"/>
      <c r="S108" s="233"/>
    </row>
    <row r="109" spans="1:19">
      <c r="A109" s="235"/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  <c r="O109" s="241"/>
      <c r="P109" s="241"/>
      <c r="Q109" s="242"/>
      <c r="R109" s="233"/>
      <c r="S109" s="233"/>
    </row>
    <row r="110" spans="1:19">
      <c r="A110" s="235"/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  <c r="O110" s="241"/>
      <c r="P110" s="241"/>
      <c r="Q110" s="242"/>
      <c r="R110" s="233"/>
      <c r="S110" s="233"/>
    </row>
    <row r="111" spans="1:19">
      <c r="A111" s="235"/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  <c r="O111" s="241"/>
      <c r="P111" s="241"/>
      <c r="Q111" s="242"/>
      <c r="R111" s="233"/>
      <c r="S111" s="233"/>
    </row>
    <row r="112" spans="1:19">
      <c r="A112" s="235"/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  <c r="O112" s="241"/>
      <c r="P112" s="241"/>
      <c r="Q112" s="242"/>
      <c r="R112" s="233"/>
      <c r="S112" s="233"/>
    </row>
    <row r="113" spans="1:19">
      <c r="A113" s="235"/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  <c r="O113" s="241"/>
      <c r="P113" s="241"/>
      <c r="Q113" s="242"/>
      <c r="R113" s="233"/>
      <c r="S113" s="233"/>
    </row>
    <row r="114" spans="1:19">
      <c r="A114" s="235"/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  <c r="O114" s="241"/>
      <c r="P114" s="241"/>
      <c r="Q114" s="242"/>
      <c r="R114" s="233"/>
      <c r="S114" s="233"/>
    </row>
    <row r="115" spans="1:19">
      <c r="A115" s="235"/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  <c r="O115" s="241"/>
      <c r="P115" s="241"/>
      <c r="Q115" s="242"/>
      <c r="R115" s="233"/>
      <c r="S115" s="233"/>
    </row>
    <row r="116" spans="1:19">
      <c r="A116" s="235"/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  <c r="O116" s="241"/>
      <c r="P116" s="241"/>
      <c r="Q116" s="242"/>
      <c r="R116" s="233"/>
      <c r="S116" s="233"/>
    </row>
    <row r="117" spans="1:19">
      <c r="A117" s="2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  <c r="O117" s="241"/>
      <c r="P117" s="241"/>
      <c r="Q117" s="242"/>
      <c r="R117" s="233"/>
      <c r="S117" s="233"/>
    </row>
    <row r="118" spans="1:19">
      <c r="A118" s="235"/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  <c r="O118" s="241"/>
      <c r="P118" s="241"/>
      <c r="Q118" s="242"/>
      <c r="R118" s="233"/>
      <c r="S118" s="233"/>
    </row>
    <row r="119" spans="1:19">
      <c r="A119" s="235"/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  <c r="O119" s="241"/>
      <c r="P119" s="241"/>
      <c r="Q119" s="242"/>
      <c r="R119" s="233"/>
      <c r="S119" s="233"/>
    </row>
    <row r="120" spans="1:19">
      <c r="A120" s="235"/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  <c r="O120" s="241"/>
      <c r="P120" s="241"/>
      <c r="Q120" s="242"/>
      <c r="R120" s="233"/>
      <c r="S120" s="233"/>
    </row>
    <row r="121" spans="1:19">
      <c r="A121" s="235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1"/>
      <c r="P121" s="241"/>
      <c r="Q121" s="242"/>
      <c r="R121" s="233"/>
      <c r="S121" s="233"/>
    </row>
    <row r="122" spans="1:19">
      <c r="A122" s="235"/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  <c r="O122" s="241"/>
      <c r="P122" s="241"/>
      <c r="Q122" s="242"/>
      <c r="R122" s="233"/>
      <c r="S122" s="233"/>
    </row>
    <row r="123" spans="1:19">
      <c r="A123" s="235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  <c r="O123" s="241"/>
      <c r="P123" s="241"/>
      <c r="Q123" s="242"/>
      <c r="R123" s="233"/>
      <c r="S123" s="233"/>
    </row>
    <row r="124" spans="1:19">
      <c r="A124" s="235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241"/>
      <c r="Q124" s="242"/>
      <c r="R124" s="233"/>
      <c r="S124" s="233"/>
    </row>
    <row r="125" spans="1:19">
      <c r="A125" s="235"/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  <c r="O125" s="241"/>
      <c r="P125" s="241"/>
      <c r="Q125" s="242"/>
      <c r="R125" s="233"/>
      <c r="S125" s="233"/>
    </row>
    <row r="126" spans="1:19">
      <c r="A126" s="235"/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  <c r="O126" s="241"/>
      <c r="P126" s="241"/>
      <c r="Q126" s="242"/>
      <c r="R126" s="233"/>
      <c r="S126" s="233"/>
    </row>
    <row r="127" spans="1:19">
      <c r="A127" s="235"/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241"/>
      <c r="Q127" s="242"/>
      <c r="R127" s="233"/>
      <c r="S127" s="233"/>
    </row>
    <row r="128" spans="1:19">
      <c r="A128" s="235"/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  <c r="O128" s="241"/>
      <c r="P128" s="241"/>
      <c r="Q128" s="242"/>
      <c r="R128" s="233"/>
      <c r="S128" s="233"/>
    </row>
    <row r="129" spans="1:19">
      <c r="A129" s="235"/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  <c r="O129" s="241"/>
      <c r="P129" s="241"/>
      <c r="Q129" s="242"/>
      <c r="R129" s="233"/>
      <c r="S129" s="233"/>
    </row>
    <row r="130" spans="1:19">
      <c r="A130" s="235"/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  <c r="O130" s="241"/>
      <c r="P130" s="241"/>
      <c r="Q130" s="242"/>
      <c r="R130" s="233"/>
      <c r="S130" s="233"/>
    </row>
    <row r="131" spans="1:19">
      <c r="A131" s="235"/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  <c r="O131" s="241"/>
      <c r="P131" s="241"/>
      <c r="Q131" s="242"/>
      <c r="R131" s="233"/>
      <c r="S131" s="233"/>
    </row>
    <row r="132" spans="1:19">
      <c r="A132" s="235"/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241"/>
      <c r="Q132" s="242"/>
      <c r="R132" s="233"/>
      <c r="S132" s="233"/>
    </row>
    <row r="133" spans="1:19">
      <c r="A133" s="235"/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  <c r="O133" s="241"/>
      <c r="P133" s="241"/>
      <c r="Q133" s="242"/>
      <c r="R133" s="233"/>
      <c r="S133" s="233"/>
    </row>
    <row r="134" spans="1:19">
      <c r="A134" s="235"/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  <c r="O134" s="241"/>
      <c r="P134" s="241"/>
      <c r="Q134" s="242"/>
      <c r="R134" s="233"/>
      <c r="S134" s="233"/>
    </row>
    <row r="135" spans="1:19">
      <c r="A135" s="235"/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241"/>
      <c r="Q135" s="242"/>
      <c r="R135" s="233"/>
      <c r="S135" s="233"/>
    </row>
    <row r="136" spans="1:19">
      <c r="A136" s="235"/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  <c r="O136" s="241"/>
      <c r="P136" s="241"/>
      <c r="Q136" s="242"/>
      <c r="R136" s="233"/>
      <c r="S136" s="233"/>
    </row>
    <row r="137" spans="1:19">
      <c r="A137" s="235"/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  <c r="O137" s="241"/>
      <c r="P137" s="241"/>
      <c r="Q137" s="242"/>
      <c r="R137" s="233"/>
      <c r="S137" s="233"/>
    </row>
    <row r="138" spans="1:19">
      <c r="A138" s="235"/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  <c r="P138" s="241"/>
      <c r="Q138" s="242"/>
      <c r="R138" s="233"/>
      <c r="S138" s="233"/>
    </row>
    <row r="139" spans="1:19">
      <c r="A139" s="235"/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  <c r="P139" s="241"/>
      <c r="Q139" s="242"/>
      <c r="R139" s="233"/>
      <c r="S139" s="233"/>
    </row>
    <row r="140" spans="1:19">
      <c r="A140" s="235"/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2"/>
      <c r="R140" s="233"/>
      <c r="S140" s="233"/>
    </row>
    <row r="141" spans="1:19">
      <c r="A141" s="235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  <c r="O141" s="241"/>
      <c r="P141" s="241"/>
      <c r="Q141" s="242"/>
      <c r="R141" s="233"/>
      <c r="S141" s="233"/>
    </row>
    <row r="142" spans="1:19">
      <c r="A142" s="235"/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  <c r="O142" s="241"/>
      <c r="P142" s="241"/>
      <c r="Q142" s="242"/>
      <c r="R142" s="233"/>
      <c r="S142" s="233"/>
    </row>
    <row r="143" spans="1:19">
      <c r="A143" s="235"/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  <c r="O143" s="241"/>
      <c r="P143" s="241"/>
      <c r="Q143" s="242"/>
      <c r="R143" s="233"/>
      <c r="S143" s="233"/>
    </row>
    <row r="144" spans="1:19">
      <c r="A144" s="235"/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  <c r="O144" s="241"/>
      <c r="P144" s="241"/>
      <c r="Q144" s="242"/>
      <c r="R144" s="233"/>
      <c r="S144" s="233"/>
    </row>
    <row r="145" spans="1:19">
      <c r="A145" s="235"/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  <c r="O145" s="241"/>
      <c r="P145" s="241"/>
      <c r="Q145" s="242"/>
      <c r="R145" s="233"/>
      <c r="S145" s="233"/>
    </row>
    <row r="146" spans="1:19">
      <c r="A146" s="235"/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  <c r="O146" s="241"/>
      <c r="P146" s="241"/>
      <c r="Q146" s="242"/>
      <c r="R146" s="233"/>
      <c r="S146" s="233"/>
    </row>
    <row r="147" spans="1:19">
      <c r="A147" s="235"/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  <c r="O147" s="241"/>
      <c r="P147" s="241"/>
      <c r="Q147" s="242"/>
      <c r="R147" s="233"/>
      <c r="S147" s="233"/>
    </row>
    <row r="148" spans="1:19">
      <c r="A148" s="235"/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1"/>
      <c r="P148" s="241"/>
      <c r="Q148" s="242"/>
      <c r="R148" s="233"/>
      <c r="S148" s="233"/>
    </row>
    <row r="149" spans="1:19">
      <c r="A149" s="235"/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  <c r="O149" s="241"/>
      <c r="P149" s="241"/>
      <c r="Q149" s="242"/>
      <c r="R149" s="233"/>
      <c r="S149" s="233"/>
    </row>
    <row r="150" spans="1:19">
      <c r="A150" s="235"/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  <c r="O150" s="241"/>
      <c r="P150" s="241"/>
      <c r="Q150" s="242"/>
      <c r="R150" s="233"/>
      <c r="S150" s="233"/>
    </row>
    <row r="151" spans="1:19">
      <c r="A151" s="235"/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  <c r="O151" s="241"/>
      <c r="P151" s="241"/>
      <c r="Q151" s="242"/>
      <c r="R151" s="233"/>
      <c r="S151" s="233"/>
    </row>
    <row r="152" spans="1:19">
      <c r="A152" s="235"/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2"/>
      <c r="R152" s="233"/>
      <c r="S152" s="233"/>
    </row>
    <row r="153" spans="1:19">
      <c r="A153" s="235"/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  <c r="O153" s="241"/>
      <c r="P153" s="241"/>
      <c r="Q153" s="242"/>
      <c r="R153" s="233"/>
      <c r="S153" s="233"/>
    </row>
    <row r="154" spans="1:19">
      <c r="A154" s="235"/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  <c r="O154" s="241"/>
      <c r="P154" s="241"/>
      <c r="Q154" s="242"/>
      <c r="R154" s="233"/>
      <c r="S154" s="233"/>
    </row>
    <row r="155" spans="1:19">
      <c r="A155" s="235"/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  <c r="O155" s="241"/>
      <c r="P155" s="241"/>
      <c r="Q155" s="242"/>
      <c r="R155" s="233"/>
      <c r="S155" s="233"/>
    </row>
    <row r="156" spans="1:19">
      <c r="A156" s="235"/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  <c r="O156" s="241"/>
      <c r="P156" s="241"/>
      <c r="Q156" s="242"/>
      <c r="R156" s="233"/>
      <c r="S156" s="233"/>
    </row>
    <row r="157" spans="1:19">
      <c r="A157" s="235"/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  <c r="O157" s="241"/>
      <c r="P157" s="241"/>
      <c r="Q157" s="242"/>
      <c r="R157" s="233"/>
      <c r="S157" s="233"/>
    </row>
    <row r="158" spans="1:19">
      <c r="A158" s="235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  <c r="O158" s="241"/>
      <c r="P158" s="241"/>
      <c r="Q158" s="242"/>
      <c r="R158" s="233"/>
      <c r="S158" s="233"/>
    </row>
    <row r="159" spans="1:19">
      <c r="A159" s="235"/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  <c r="O159" s="241"/>
      <c r="P159" s="241"/>
      <c r="Q159" s="242"/>
      <c r="R159" s="233"/>
      <c r="S159" s="233"/>
    </row>
    <row r="160" spans="1:19">
      <c r="A160" s="235"/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  <c r="O160" s="241"/>
      <c r="P160" s="241"/>
      <c r="Q160" s="242"/>
      <c r="R160" s="233"/>
      <c r="S160" s="233"/>
    </row>
    <row r="161" spans="1:19">
      <c r="A161" s="235"/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  <c r="O161" s="241"/>
      <c r="P161" s="241"/>
      <c r="Q161" s="242"/>
      <c r="R161" s="233"/>
      <c r="S161" s="233"/>
    </row>
    <row r="162" spans="1:19">
      <c r="A162" s="235"/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  <c r="O162" s="241"/>
      <c r="P162" s="241"/>
      <c r="Q162" s="242"/>
      <c r="R162" s="233"/>
      <c r="S162" s="233"/>
    </row>
    <row r="163" spans="1:19">
      <c r="A163" s="235"/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  <c r="O163" s="241"/>
      <c r="P163" s="241"/>
      <c r="Q163" s="242"/>
      <c r="R163" s="233"/>
      <c r="S163" s="233"/>
    </row>
    <row r="164" spans="1:19">
      <c r="A164" s="235"/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  <c r="O164" s="241"/>
      <c r="P164" s="241"/>
      <c r="Q164" s="242"/>
      <c r="R164" s="233"/>
      <c r="S164" s="233"/>
    </row>
    <row r="165" spans="1:19">
      <c r="A165" s="235"/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  <c r="O165" s="241"/>
      <c r="P165" s="241"/>
      <c r="Q165" s="242"/>
      <c r="R165" s="233"/>
      <c r="S165" s="233"/>
    </row>
    <row r="166" spans="1:19">
      <c r="A166" s="235"/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  <c r="O166" s="241"/>
      <c r="P166" s="241"/>
      <c r="Q166" s="242"/>
      <c r="R166" s="233"/>
      <c r="S166" s="233"/>
    </row>
    <row r="167" spans="1:19">
      <c r="A167" s="235"/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  <c r="O167" s="241"/>
      <c r="P167" s="241"/>
      <c r="Q167" s="242"/>
      <c r="R167" s="233"/>
      <c r="S167" s="233"/>
    </row>
    <row r="168" spans="1:19">
      <c r="A168" s="235"/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  <c r="O168" s="241"/>
      <c r="P168" s="241"/>
      <c r="Q168" s="242"/>
      <c r="R168" s="233"/>
      <c r="S168" s="233"/>
    </row>
    <row r="169" spans="1:19">
      <c r="A169" s="235"/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  <c r="O169" s="241"/>
      <c r="P169" s="241"/>
      <c r="Q169" s="242"/>
      <c r="R169" s="233"/>
      <c r="S169" s="233"/>
    </row>
    <row r="170" spans="1:19">
      <c r="A170" s="235"/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  <c r="O170" s="241"/>
      <c r="P170" s="241"/>
      <c r="Q170" s="242"/>
      <c r="R170" s="233"/>
      <c r="S170" s="233"/>
    </row>
    <row r="171" spans="1:19">
      <c r="A171" s="235"/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  <c r="O171" s="241"/>
      <c r="P171" s="241"/>
      <c r="Q171" s="242"/>
      <c r="R171" s="233"/>
      <c r="S171" s="233"/>
    </row>
    <row r="172" spans="1:19">
      <c r="A172" s="235"/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  <c r="O172" s="241"/>
      <c r="P172" s="241"/>
      <c r="Q172" s="242"/>
      <c r="R172" s="233"/>
      <c r="S172" s="233"/>
    </row>
    <row r="173" spans="1:19">
      <c r="A173" s="235"/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  <c r="O173" s="241"/>
      <c r="P173" s="241"/>
      <c r="Q173" s="242"/>
      <c r="R173" s="233"/>
      <c r="S173" s="233"/>
    </row>
    <row r="174" spans="1:19">
      <c r="A174" s="235"/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  <c r="O174" s="241"/>
      <c r="P174" s="241"/>
      <c r="Q174" s="242"/>
      <c r="R174" s="233"/>
      <c r="S174" s="233"/>
    </row>
    <row r="175" spans="1:19">
      <c r="A175" s="235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1"/>
      <c r="P175" s="241"/>
      <c r="Q175" s="242"/>
      <c r="R175" s="233"/>
      <c r="S175" s="233"/>
    </row>
    <row r="176" spans="1:19">
      <c r="A176" s="235"/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  <c r="O176" s="241"/>
      <c r="P176" s="241"/>
      <c r="Q176" s="242"/>
      <c r="R176" s="233"/>
      <c r="S176" s="233"/>
    </row>
    <row r="177" spans="1:19">
      <c r="A177" s="235"/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  <c r="O177" s="241"/>
      <c r="P177" s="241"/>
      <c r="Q177" s="242"/>
      <c r="R177" s="233"/>
      <c r="S177" s="233"/>
    </row>
    <row r="178" spans="1:19">
      <c r="A178" s="235"/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  <c r="O178" s="241"/>
      <c r="P178" s="241"/>
      <c r="Q178" s="242"/>
      <c r="R178" s="233"/>
      <c r="S178" s="233"/>
    </row>
    <row r="179" spans="1:19">
      <c r="A179" s="235"/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  <c r="O179" s="241"/>
      <c r="P179" s="241"/>
      <c r="Q179" s="242"/>
      <c r="R179" s="233"/>
      <c r="S179" s="233"/>
    </row>
    <row r="180" spans="1:19">
      <c r="A180" s="235"/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  <c r="O180" s="241"/>
      <c r="P180" s="241"/>
      <c r="Q180" s="242"/>
      <c r="R180" s="233"/>
      <c r="S180" s="233"/>
    </row>
    <row r="181" spans="1:19">
      <c r="A181" s="235"/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  <c r="O181" s="241"/>
      <c r="P181" s="241"/>
      <c r="Q181" s="242"/>
      <c r="R181" s="233"/>
      <c r="S181" s="233"/>
    </row>
    <row r="182" spans="1:19">
      <c r="A182" s="235"/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  <c r="O182" s="241"/>
      <c r="P182" s="241"/>
      <c r="Q182" s="242"/>
      <c r="R182" s="233"/>
      <c r="S182" s="233"/>
    </row>
    <row r="183" spans="1:19">
      <c r="A183" s="235"/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  <c r="O183" s="241"/>
      <c r="P183" s="241"/>
      <c r="Q183" s="242"/>
      <c r="R183" s="233"/>
      <c r="S183" s="233"/>
    </row>
    <row r="184" spans="1:19">
      <c r="A184" s="235"/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  <c r="O184" s="241"/>
      <c r="P184" s="241"/>
      <c r="Q184" s="242"/>
      <c r="R184" s="233"/>
      <c r="S184" s="233"/>
    </row>
    <row r="185" spans="1:19">
      <c r="A185" s="235"/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  <c r="O185" s="241"/>
      <c r="P185" s="241"/>
      <c r="Q185" s="242"/>
      <c r="R185" s="233"/>
      <c r="S185" s="233"/>
    </row>
    <row r="186" spans="1:19">
      <c r="A186" s="235"/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  <c r="O186" s="241"/>
      <c r="P186" s="241"/>
      <c r="Q186" s="242"/>
      <c r="R186" s="233"/>
      <c r="S186" s="233"/>
    </row>
    <row r="187" spans="1:19">
      <c r="A187" s="235"/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  <c r="O187" s="241"/>
      <c r="P187" s="241"/>
      <c r="Q187" s="242"/>
      <c r="R187" s="233"/>
      <c r="S187" s="233"/>
    </row>
    <row r="188" spans="1:19">
      <c r="A188" s="235"/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  <c r="O188" s="241"/>
      <c r="P188" s="241"/>
      <c r="Q188" s="242"/>
      <c r="R188" s="233"/>
      <c r="S188" s="233"/>
    </row>
    <row r="189" spans="1:19">
      <c r="A189" s="235"/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  <c r="O189" s="241"/>
      <c r="P189" s="241"/>
      <c r="Q189" s="242"/>
      <c r="R189" s="233"/>
      <c r="S189" s="233"/>
    </row>
    <row r="190" spans="1:19">
      <c r="A190" s="235"/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  <c r="O190" s="241"/>
      <c r="P190" s="241"/>
      <c r="Q190" s="242"/>
      <c r="R190" s="233"/>
      <c r="S190" s="233"/>
    </row>
    <row r="191" spans="1:19">
      <c r="A191" s="235"/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  <c r="O191" s="241"/>
      <c r="P191" s="241"/>
      <c r="Q191" s="242"/>
      <c r="R191" s="233"/>
      <c r="S191" s="233"/>
    </row>
    <row r="192" spans="1:19">
      <c r="A192" s="235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  <c r="O192" s="241"/>
      <c r="P192" s="241"/>
      <c r="Q192" s="242"/>
      <c r="R192" s="233"/>
      <c r="S192" s="233"/>
    </row>
    <row r="193" spans="1:19">
      <c r="A193" s="235"/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2"/>
      <c r="R193" s="233"/>
      <c r="S193" s="233"/>
    </row>
    <row r="194" spans="1:19">
      <c r="A194" s="235"/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  <c r="O194" s="241"/>
      <c r="P194" s="241"/>
      <c r="Q194" s="242"/>
      <c r="R194" s="233"/>
      <c r="S194" s="233"/>
    </row>
    <row r="195" spans="1:19">
      <c r="A195" s="235"/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  <c r="O195" s="241"/>
      <c r="P195" s="241"/>
      <c r="Q195" s="242"/>
      <c r="R195" s="233"/>
      <c r="S195" s="233"/>
    </row>
    <row r="196" spans="1:19">
      <c r="A196" s="235"/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  <c r="O196" s="241"/>
      <c r="P196" s="241"/>
      <c r="Q196" s="242"/>
      <c r="R196" s="233"/>
      <c r="S196" s="233"/>
    </row>
    <row r="197" spans="1:19">
      <c r="A197" s="235"/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  <c r="O197" s="241"/>
      <c r="P197" s="241"/>
      <c r="Q197" s="242"/>
      <c r="R197" s="233"/>
      <c r="S197" s="233"/>
    </row>
    <row r="198" spans="1:19">
      <c r="A198" s="235"/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  <c r="O198" s="241"/>
      <c r="P198" s="241"/>
      <c r="Q198" s="242"/>
      <c r="R198" s="233"/>
      <c r="S198" s="233"/>
    </row>
    <row r="199" spans="1:19">
      <c r="A199" s="235"/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  <c r="O199" s="241"/>
      <c r="P199" s="241"/>
      <c r="Q199" s="242"/>
      <c r="R199" s="233"/>
      <c r="S199" s="233"/>
    </row>
    <row r="200" spans="1:19">
      <c r="A200" s="235"/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  <c r="O200" s="241"/>
      <c r="P200" s="241"/>
      <c r="Q200" s="242"/>
      <c r="R200" s="233"/>
      <c r="S200" s="233"/>
    </row>
    <row r="201" spans="1:19">
      <c r="A201" s="235"/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  <c r="O201" s="241"/>
      <c r="P201" s="241"/>
      <c r="Q201" s="242"/>
      <c r="R201" s="233"/>
      <c r="S201" s="233"/>
    </row>
    <row r="202" spans="1:19">
      <c r="A202" s="235"/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  <c r="O202" s="241"/>
      <c r="P202" s="241"/>
      <c r="Q202" s="242"/>
      <c r="R202" s="233"/>
      <c r="S202" s="233"/>
    </row>
    <row r="203" spans="1:19">
      <c r="A203" s="235"/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  <c r="O203" s="241"/>
      <c r="P203" s="241"/>
      <c r="Q203" s="242"/>
      <c r="R203" s="233"/>
      <c r="S203" s="233"/>
    </row>
    <row r="204" spans="1:19">
      <c r="A204" s="235"/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  <c r="O204" s="241"/>
      <c r="P204" s="241"/>
      <c r="Q204" s="242"/>
      <c r="R204" s="233"/>
      <c r="S204" s="233"/>
    </row>
    <row r="205" spans="1:19">
      <c r="A205" s="235"/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  <c r="O205" s="241"/>
      <c r="P205" s="241"/>
      <c r="Q205" s="242"/>
      <c r="R205" s="233"/>
      <c r="S205" s="233"/>
    </row>
    <row r="206" spans="1:19">
      <c r="A206" s="235"/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  <c r="O206" s="241"/>
      <c r="P206" s="241"/>
      <c r="Q206" s="242"/>
      <c r="R206" s="233"/>
      <c r="S206" s="233"/>
    </row>
    <row r="207" spans="1:19">
      <c r="A207" s="235"/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  <c r="O207" s="241"/>
      <c r="P207" s="241"/>
      <c r="Q207" s="242"/>
      <c r="R207" s="233"/>
      <c r="S207" s="233"/>
    </row>
    <row r="208" spans="1:19">
      <c r="A208" s="235"/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  <c r="O208" s="241"/>
      <c r="P208" s="241"/>
      <c r="Q208" s="242"/>
      <c r="R208" s="233"/>
      <c r="S208" s="233"/>
    </row>
    <row r="209" spans="1:19">
      <c r="A209" s="235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  <c r="O209" s="241"/>
      <c r="P209" s="241"/>
      <c r="Q209" s="242"/>
      <c r="R209" s="233"/>
      <c r="S209" s="233"/>
    </row>
    <row r="210" spans="1:19">
      <c r="A210" s="235"/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  <c r="O210" s="241"/>
      <c r="P210" s="241"/>
      <c r="Q210" s="242"/>
      <c r="R210" s="233"/>
      <c r="S210" s="233"/>
    </row>
    <row r="211" spans="1:19">
      <c r="A211" s="235"/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  <c r="O211" s="241"/>
      <c r="P211" s="241"/>
      <c r="Q211" s="242"/>
      <c r="R211" s="233"/>
      <c r="S211" s="233"/>
    </row>
    <row r="212" spans="1:19">
      <c r="A212" s="235"/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  <c r="O212" s="241"/>
      <c r="P212" s="241"/>
      <c r="Q212" s="242"/>
      <c r="R212" s="233"/>
      <c r="S212" s="233"/>
    </row>
    <row r="213" spans="1:19">
      <c r="A213" s="235"/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  <c r="O213" s="241"/>
      <c r="P213" s="241"/>
      <c r="Q213" s="242"/>
      <c r="R213" s="233"/>
      <c r="S213" s="233"/>
    </row>
    <row r="214" spans="1:19">
      <c r="A214" s="235"/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  <c r="O214" s="241"/>
      <c r="P214" s="241"/>
      <c r="Q214" s="242"/>
      <c r="R214" s="233"/>
      <c r="S214" s="233"/>
    </row>
    <row r="215" spans="1:19">
      <c r="A215" s="235"/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  <c r="O215" s="241"/>
      <c r="P215" s="241"/>
      <c r="Q215" s="242"/>
      <c r="R215" s="233"/>
      <c r="S215" s="233"/>
    </row>
    <row r="216" spans="1:19">
      <c r="A216" s="235"/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  <c r="O216" s="241"/>
      <c r="P216" s="241"/>
      <c r="Q216" s="242"/>
      <c r="R216" s="233"/>
      <c r="S216" s="233"/>
    </row>
    <row r="217" spans="1:19">
      <c r="A217" s="235"/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  <c r="O217" s="241"/>
      <c r="P217" s="241"/>
      <c r="Q217" s="242"/>
      <c r="R217" s="233"/>
      <c r="S217" s="233"/>
    </row>
    <row r="218" spans="1:19">
      <c r="A218" s="235"/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  <c r="O218" s="241"/>
      <c r="P218" s="241"/>
      <c r="Q218" s="242"/>
      <c r="R218" s="233"/>
      <c r="S218" s="233"/>
    </row>
    <row r="219" spans="1:19">
      <c r="A219" s="235"/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  <c r="O219" s="241"/>
      <c r="P219" s="241"/>
      <c r="Q219" s="242"/>
      <c r="R219" s="233"/>
      <c r="S219" s="233"/>
    </row>
    <row r="220" spans="1:19">
      <c r="A220" s="235"/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  <c r="O220" s="241"/>
      <c r="P220" s="241"/>
      <c r="Q220" s="242"/>
      <c r="R220" s="233"/>
      <c r="S220" s="233"/>
    </row>
    <row r="221" spans="1:19">
      <c r="A221" s="235"/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  <c r="O221" s="241"/>
      <c r="P221" s="241"/>
      <c r="Q221" s="242"/>
      <c r="R221" s="233"/>
      <c r="S221" s="233"/>
    </row>
    <row r="222" spans="1:19">
      <c r="A222" s="235"/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  <c r="O222" s="241"/>
      <c r="P222" s="241"/>
      <c r="Q222" s="242"/>
      <c r="R222" s="233"/>
      <c r="S222" s="233"/>
    </row>
    <row r="223" spans="1:19">
      <c r="A223" s="235"/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  <c r="O223" s="241"/>
      <c r="P223" s="241"/>
      <c r="Q223" s="242"/>
      <c r="R223" s="233"/>
      <c r="S223" s="233"/>
    </row>
    <row r="224" spans="1:19">
      <c r="A224" s="235"/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  <c r="O224" s="241"/>
      <c r="P224" s="241"/>
      <c r="Q224" s="242"/>
      <c r="R224" s="233"/>
      <c r="S224" s="233"/>
    </row>
    <row r="225" spans="1:19">
      <c r="A225" s="235"/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  <c r="O225" s="241"/>
      <c r="P225" s="241"/>
      <c r="Q225" s="242"/>
      <c r="R225" s="233"/>
      <c r="S225" s="233"/>
    </row>
    <row r="226" spans="1:19">
      <c r="A226" s="235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  <c r="O226" s="241"/>
      <c r="P226" s="241"/>
      <c r="Q226" s="242"/>
      <c r="R226" s="233"/>
      <c r="S226" s="233"/>
    </row>
    <row r="227" spans="1:19">
      <c r="A227" s="235"/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  <c r="O227" s="241"/>
      <c r="P227" s="241"/>
      <c r="Q227" s="242"/>
      <c r="R227" s="233"/>
      <c r="S227" s="233"/>
    </row>
    <row r="228" spans="1:19">
      <c r="A228" s="235"/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  <c r="O228" s="241"/>
      <c r="P228" s="241"/>
      <c r="Q228" s="242"/>
      <c r="R228" s="233"/>
      <c r="S228" s="233"/>
    </row>
    <row r="229" spans="1:19">
      <c r="A229" s="235"/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  <c r="O229" s="241"/>
      <c r="P229" s="241"/>
      <c r="Q229" s="242"/>
      <c r="R229" s="233"/>
      <c r="S229" s="233"/>
    </row>
    <row r="230" spans="1:19">
      <c r="A230" s="235"/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  <c r="O230" s="241"/>
      <c r="P230" s="241"/>
      <c r="Q230" s="242"/>
      <c r="R230" s="233"/>
      <c r="S230" s="233"/>
    </row>
    <row r="231" spans="1:19">
      <c r="A231" s="235"/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  <c r="O231" s="241"/>
      <c r="P231" s="241"/>
      <c r="Q231" s="242"/>
      <c r="R231" s="233"/>
      <c r="S231" s="233"/>
    </row>
    <row r="232" spans="1:19">
      <c r="A232" s="235"/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  <c r="O232" s="241"/>
      <c r="P232" s="241"/>
      <c r="Q232" s="242"/>
      <c r="R232" s="233"/>
      <c r="S232" s="233"/>
    </row>
    <row r="233" spans="1:19">
      <c r="A233" s="235"/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  <c r="O233" s="241"/>
      <c r="P233" s="241"/>
      <c r="Q233" s="242"/>
      <c r="R233" s="233"/>
      <c r="S233" s="233"/>
    </row>
    <row r="234" spans="1:19">
      <c r="A234" s="235"/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2"/>
      <c r="R234" s="233"/>
      <c r="S234" s="233"/>
    </row>
    <row r="235" spans="1:19">
      <c r="A235" s="235"/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  <c r="O235" s="241"/>
      <c r="P235" s="241"/>
      <c r="Q235" s="242"/>
      <c r="R235" s="233"/>
      <c r="S235" s="233"/>
    </row>
    <row r="236" spans="1:19">
      <c r="A236" s="235"/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  <c r="O236" s="241"/>
      <c r="P236" s="241"/>
      <c r="Q236" s="242"/>
      <c r="R236" s="233"/>
      <c r="S236" s="233"/>
    </row>
    <row r="237" spans="1:19">
      <c r="A237" s="235"/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  <c r="O237" s="241"/>
      <c r="P237" s="241"/>
      <c r="Q237" s="242"/>
      <c r="R237" s="233"/>
      <c r="S237" s="233"/>
    </row>
    <row r="238" spans="1:19">
      <c r="A238" s="235"/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  <c r="O238" s="241"/>
      <c r="P238" s="241"/>
      <c r="Q238" s="242"/>
      <c r="R238" s="233"/>
      <c r="S238" s="233"/>
    </row>
    <row r="239" spans="1:19">
      <c r="A239" s="235"/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  <c r="O239" s="241"/>
      <c r="P239" s="241"/>
      <c r="Q239" s="242"/>
      <c r="R239" s="233"/>
      <c r="S239" s="233"/>
    </row>
    <row r="240" spans="1:19">
      <c r="A240" s="235"/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  <c r="O240" s="241"/>
      <c r="P240" s="241"/>
      <c r="Q240" s="242"/>
      <c r="R240" s="233"/>
      <c r="S240" s="233"/>
    </row>
    <row r="241" spans="1:19">
      <c r="A241" s="235"/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  <c r="O241" s="241"/>
      <c r="P241" s="241"/>
      <c r="Q241" s="242"/>
      <c r="R241" s="233"/>
      <c r="S241" s="233"/>
    </row>
    <row r="242" spans="1:19">
      <c r="A242" s="235"/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  <c r="O242" s="241"/>
      <c r="P242" s="241"/>
      <c r="Q242" s="242"/>
      <c r="R242" s="233"/>
      <c r="S242" s="233"/>
    </row>
    <row r="243" spans="1:19">
      <c r="A243" s="235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  <c r="O243" s="241"/>
      <c r="P243" s="241"/>
      <c r="Q243" s="242"/>
      <c r="R243" s="233"/>
      <c r="S243" s="233"/>
    </row>
    <row r="244" spans="1:19">
      <c r="A244" s="235"/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  <c r="O244" s="241"/>
      <c r="P244" s="241"/>
      <c r="Q244" s="242"/>
      <c r="R244" s="233"/>
      <c r="S244" s="233"/>
    </row>
    <row r="245" spans="1:19">
      <c r="A245" s="235"/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  <c r="O245" s="241"/>
      <c r="P245" s="241"/>
      <c r="Q245" s="242"/>
      <c r="R245" s="233"/>
      <c r="S245" s="233"/>
    </row>
    <row r="246" spans="1:19">
      <c r="A246" s="235"/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  <c r="O246" s="241"/>
      <c r="P246" s="241"/>
      <c r="Q246" s="242"/>
      <c r="R246" s="233"/>
      <c r="S246" s="233"/>
    </row>
    <row r="247" spans="1:19">
      <c r="A247" s="235"/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  <c r="O247" s="241"/>
      <c r="P247" s="241"/>
      <c r="Q247" s="242"/>
      <c r="R247" s="233"/>
      <c r="S247" s="233"/>
    </row>
    <row r="248" spans="1:19">
      <c r="A248" s="235"/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  <c r="O248" s="241"/>
      <c r="P248" s="241"/>
      <c r="Q248" s="242"/>
      <c r="R248" s="233"/>
      <c r="S248" s="233"/>
    </row>
    <row r="249" spans="1:19">
      <c r="A249" s="235"/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  <c r="O249" s="241"/>
      <c r="P249" s="241"/>
      <c r="Q249" s="242"/>
      <c r="R249" s="233"/>
      <c r="S249" s="233"/>
    </row>
    <row r="250" spans="1:19">
      <c r="A250" s="235"/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  <c r="O250" s="241"/>
      <c r="P250" s="241"/>
      <c r="Q250" s="242"/>
      <c r="R250" s="233"/>
      <c r="S250" s="233"/>
    </row>
    <row r="251" spans="1:19">
      <c r="A251" s="235"/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  <c r="O251" s="241"/>
      <c r="P251" s="241"/>
      <c r="Q251" s="242"/>
      <c r="R251" s="233"/>
      <c r="S251" s="233"/>
    </row>
    <row r="252" spans="1:19">
      <c r="A252" s="235"/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  <c r="O252" s="241"/>
      <c r="P252" s="241"/>
      <c r="Q252" s="242"/>
      <c r="R252" s="233"/>
      <c r="S252" s="233"/>
    </row>
    <row r="253" spans="1:19">
      <c r="A253" s="235"/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  <c r="O253" s="241"/>
      <c r="P253" s="241"/>
      <c r="Q253" s="242"/>
      <c r="R253" s="233"/>
      <c r="S253" s="233"/>
    </row>
    <row r="254" spans="1:19">
      <c r="A254" s="235"/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  <c r="O254" s="241"/>
      <c r="P254" s="241"/>
      <c r="Q254" s="242"/>
      <c r="R254" s="233"/>
      <c r="S254" s="233"/>
    </row>
    <row r="255" spans="1:19">
      <c r="A255" s="235"/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  <c r="O255" s="241"/>
      <c r="P255" s="241"/>
      <c r="Q255" s="242"/>
      <c r="R255" s="233"/>
      <c r="S255" s="233"/>
    </row>
    <row r="256" spans="1:19">
      <c r="A256" s="235"/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  <c r="O256" s="241"/>
      <c r="P256" s="241"/>
      <c r="Q256" s="242"/>
      <c r="R256" s="233"/>
      <c r="S256" s="233"/>
    </row>
    <row r="257" spans="1:19">
      <c r="A257" s="235"/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  <c r="O257" s="241"/>
      <c r="P257" s="241"/>
      <c r="Q257" s="242"/>
      <c r="R257" s="233"/>
      <c r="S257" s="233"/>
    </row>
    <row r="258" spans="1:19">
      <c r="A258" s="235"/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  <c r="O258" s="241"/>
      <c r="P258" s="241"/>
      <c r="Q258" s="242"/>
      <c r="R258" s="233"/>
      <c r="S258" s="233"/>
    </row>
    <row r="259" spans="1:19">
      <c r="A259" s="235"/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  <c r="O259" s="241"/>
      <c r="P259" s="241"/>
      <c r="Q259" s="242"/>
      <c r="R259" s="233"/>
      <c r="S259" s="233"/>
    </row>
    <row r="260" spans="1:19">
      <c r="A260" s="235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  <c r="O260" s="241"/>
      <c r="P260" s="241"/>
      <c r="Q260" s="242"/>
      <c r="R260" s="233"/>
      <c r="S260" s="233"/>
    </row>
    <row r="261" spans="1:19">
      <c r="A261" s="235"/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  <c r="O261" s="241"/>
      <c r="P261" s="241"/>
      <c r="Q261" s="242"/>
      <c r="R261" s="233"/>
      <c r="S261" s="233"/>
    </row>
    <row r="262" spans="1:19">
      <c r="A262" s="235"/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  <c r="O262" s="241"/>
      <c r="P262" s="241"/>
      <c r="Q262" s="242"/>
      <c r="R262" s="233"/>
      <c r="S262" s="233"/>
    </row>
    <row r="263" spans="1:19">
      <c r="A263" s="235"/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  <c r="O263" s="241"/>
      <c r="P263" s="241"/>
      <c r="Q263" s="242"/>
      <c r="R263" s="233"/>
      <c r="S263" s="233"/>
    </row>
    <row r="264" spans="1:19">
      <c r="A264" s="235"/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  <c r="O264" s="241"/>
      <c r="P264" s="241"/>
      <c r="Q264" s="242"/>
      <c r="R264" s="233"/>
      <c r="S264" s="233"/>
    </row>
    <row r="265" spans="1:19">
      <c r="A265" s="235"/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  <c r="O265" s="241"/>
      <c r="P265" s="241"/>
      <c r="Q265" s="242"/>
      <c r="R265" s="233"/>
      <c r="S265" s="233"/>
    </row>
    <row r="266" spans="1:19">
      <c r="A266" s="235"/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  <c r="O266" s="241"/>
      <c r="P266" s="241"/>
      <c r="Q266" s="242"/>
      <c r="R266" s="233"/>
      <c r="S266" s="233"/>
    </row>
    <row r="267" spans="1:19">
      <c r="A267" s="235"/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  <c r="O267" s="241"/>
      <c r="P267" s="241"/>
      <c r="Q267" s="242"/>
      <c r="R267" s="233"/>
      <c r="S267" s="233"/>
    </row>
    <row r="268" spans="1:19">
      <c r="A268" s="235"/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  <c r="O268" s="241"/>
      <c r="P268" s="241"/>
      <c r="Q268" s="242"/>
      <c r="R268" s="233"/>
      <c r="S268" s="233"/>
    </row>
    <row r="269" spans="1:19">
      <c r="A269" s="235"/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  <c r="O269" s="241"/>
      <c r="P269" s="241"/>
      <c r="Q269" s="242"/>
      <c r="R269" s="233"/>
      <c r="S269" s="233"/>
    </row>
    <row r="270" spans="1:19">
      <c r="A270" s="235"/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  <c r="O270" s="241"/>
      <c r="P270" s="241"/>
      <c r="Q270" s="242"/>
      <c r="R270" s="233"/>
      <c r="S270" s="233"/>
    </row>
    <row r="271" spans="1:19">
      <c r="A271" s="235"/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  <c r="O271" s="241"/>
      <c r="P271" s="241"/>
      <c r="Q271" s="242"/>
      <c r="R271" s="233"/>
      <c r="S271" s="233"/>
    </row>
    <row r="272" spans="1:19">
      <c r="A272" s="235"/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  <c r="O272" s="241"/>
      <c r="P272" s="241"/>
      <c r="Q272" s="242"/>
      <c r="R272" s="233"/>
      <c r="S272" s="233"/>
    </row>
    <row r="273" spans="1:19">
      <c r="A273" s="235"/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  <c r="O273" s="241"/>
      <c r="P273" s="241"/>
      <c r="Q273" s="242"/>
      <c r="R273" s="233"/>
      <c r="S273" s="233"/>
    </row>
    <row r="274" spans="1:19">
      <c r="A274" s="235"/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  <c r="O274" s="241"/>
      <c r="P274" s="241"/>
      <c r="Q274" s="242"/>
      <c r="R274" s="233"/>
      <c r="S274" s="233"/>
    </row>
    <row r="275" spans="1:19">
      <c r="A275" s="235"/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  <c r="O275" s="241"/>
      <c r="P275" s="241"/>
      <c r="Q275" s="242"/>
      <c r="R275" s="233"/>
      <c r="S275" s="233"/>
    </row>
    <row r="276" spans="1:19">
      <c r="A276" s="235"/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  <c r="O276" s="241"/>
      <c r="P276" s="241"/>
      <c r="Q276" s="242"/>
      <c r="R276" s="233"/>
      <c r="S276" s="233"/>
    </row>
    <row r="277" spans="1:19">
      <c r="A277" s="235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  <c r="O277" s="241"/>
      <c r="P277" s="241"/>
      <c r="Q277" s="242"/>
      <c r="R277" s="233"/>
      <c r="S277" s="233"/>
    </row>
    <row r="278" spans="1:19">
      <c r="A278" s="235"/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  <c r="O278" s="241"/>
      <c r="P278" s="241"/>
      <c r="Q278" s="242"/>
      <c r="R278" s="233"/>
      <c r="S278" s="233"/>
    </row>
    <row r="279" spans="1:19">
      <c r="A279" s="235"/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  <c r="O279" s="241"/>
      <c r="P279" s="241"/>
      <c r="Q279" s="242"/>
      <c r="R279" s="233"/>
      <c r="S279" s="233"/>
    </row>
    <row r="280" spans="1:19">
      <c r="A280" s="235"/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  <c r="O280" s="241"/>
      <c r="P280" s="241"/>
      <c r="Q280" s="242"/>
      <c r="R280" s="233"/>
      <c r="S280" s="233"/>
    </row>
    <row r="281" spans="1:19">
      <c r="A281" s="235"/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  <c r="O281" s="241"/>
      <c r="P281" s="241"/>
      <c r="Q281" s="242"/>
      <c r="R281" s="233"/>
      <c r="S281" s="233"/>
    </row>
    <row r="282" spans="1:19">
      <c r="A282" s="235"/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  <c r="O282" s="241"/>
      <c r="P282" s="241"/>
      <c r="Q282" s="242"/>
      <c r="R282" s="233"/>
      <c r="S282" s="233"/>
    </row>
    <row r="283" spans="1:19">
      <c r="A283" s="235"/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  <c r="O283" s="241"/>
      <c r="P283" s="241"/>
      <c r="Q283" s="242"/>
      <c r="R283" s="233"/>
      <c r="S283" s="233"/>
    </row>
    <row r="284" spans="1:19">
      <c r="A284" s="235"/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  <c r="O284" s="241"/>
      <c r="P284" s="241"/>
      <c r="Q284" s="242"/>
      <c r="R284" s="233"/>
      <c r="S284" s="233"/>
    </row>
    <row r="285" spans="1:19">
      <c r="A285" s="235"/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  <c r="O285" s="241"/>
      <c r="P285" s="241"/>
      <c r="Q285" s="242"/>
      <c r="R285" s="233"/>
      <c r="S285" s="233"/>
    </row>
    <row r="286" spans="1:19">
      <c r="A286" s="235"/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  <c r="O286" s="241"/>
      <c r="P286" s="241"/>
      <c r="Q286" s="242"/>
      <c r="R286" s="233"/>
      <c r="S286" s="233"/>
    </row>
    <row r="287" spans="1:19">
      <c r="A287" s="235"/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  <c r="O287" s="241"/>
      <c r="P287" s="241"/>
      <c r="Q287" s="242"/>
      <c r="R287" s="233"/>
      <c r="S287" s="233"/>
    </row>
    <row r="288" spans="1:19">
      <c r="A288" s="235"/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  <c r="O288" s="241"/>
      <c r="P288" s="241"/>
      <c r="Q288" s="242"/>
      <c r="R288" s="233"/>
      <c r="S288" s="233"/>
    </row>
    <row r="289" spans="1:19">
      <c r="A289" s="235"/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  <c r="O289" s="241"/>
      <c r="P289" s="241"/>
      <c r="Q289" s="242"/>
      <c r="R289" s="233"/>
      <c r="S289" s="233"/>
    </row>
    <row r="290" spans="1:19">
      <c r="A290" s="235"/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  <c r="O290" s="241"/>
      <c r="P290" s="241"/>
      <c r="Q290" s="242"/>
      <c r="R290" s="233"/>
      <c r="S290" s="233"/>
    </row>
    <row r="291" spans="1:19">
      <c r="A291" s="235"/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  <c r="O291" s="241"/>
      <c r="P291" s="241"/>
      <c r="Q291" s="242"/>
      <c r="R291" s="233"/>
      <c r="S291" s="233"/>
    </row>
    <row r="292" spans="1:19">
      <c r="A292" s="235"/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  <c r="O292" s="241"/>
      <c r="P292" s="241"/>
      <c r="Q292" s="242"/>
      <c r="R292" s="233"/>
      <c r="S292" s="233"/>
    </row>
    <row r="293" spans="1:19">
      <c r="A293" s="235"/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  <c r="O293" s="241"/>
      <c r="P293" s="241"/>
      <c r="Q293" s="242"/>
      <c r="R293" s="233"/>
      <c r="S293" s="233"/>
    </row>
    <row r="294" spans="1:19">
      <c r="A294" s="235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  <c r="O294" s="241"/>
      <c r="P294" s="241"/>
      <c r="Q294" s="242"/>
      <c r="R294" s="233"/>
      <c r="S294" s="233"/>
    </row>
    <row r="295" spans="1:19">
      <c r="A295" s="235"/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  <c r="O295" s="241"/>
      <c r="P295" s="241"/>
      <c r="Q295" s="242"/>
      <c r="R295" s="233"/>
      <c r="S295" s="233"/>
    </row>
    <row r="296" spans="1:19">
      <c r="A296" s="235"/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  <c r="O296" s="241"/>
      <c r="P296" s="241"/>
      <c r="Q296" s="242"/>
      <c r="R296" s="233"/>
      <c r="S296" s="233"/>
    </row>
    <row r="297" spans="1:19">
      <c r="A297" s="235"/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  <c r="O297" s="241"/>
      <c r="P297" s="241"/>
      <c r="Q297" s="242"/>
      <c r="R297" s="233"/>
      <c r="S297" s="233"/>
    </row>
    <row r="298" spans="1:19">
      <c r="A298" s="235"/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  <c r="O298" s="241"/>
      <c r="P298" s="241"/>
      <c r="Q298" s="242"/>
      <c r="R298" s="233"/>
      <c r="S298" s="233"/>
    </row>
    <row r="299" spans="1:19">
      <c r="A299" s="235"/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  <c r="O299" s="241"/>
      <c r="P299" s="241"/>
      <c r="Q299" s="242"/>
      <c r="R299" s="233"/>
      <c r="S299" s="233"/>
    </row>
    <row r="300" spans="1:19">
      <c r="A300" s="235"/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  <c r="O300" s="241"/>
      <c r="P300" s="241"/>
      <c r="Q300" s="242"/>
      <c r="R300" s="233"/>
      <c r="S300" s="233"/>
    </row>
    <row r="301" spans="1:19" ht="16" thickBot="1">
      <c r="A301" s="235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4"/>
      <c r="R301" s="233"/>
      <c r="S301" s="233"/>
    </row>
    <row r="302" spans="1:19">
      <c r="A302" s="233"/>
      <c r="B302" s="245"/>
      <c r="C302" s="245"/>
      <c r="D302" s="245"/>
      <c r="E302" s="245"/>
      <c r="F302" s="245"/>
      <c r="G302" s="245"/>
      <c r="H302" s="245"/>
      <c r="I302" s="245"/>
      <c r="J302" s="245"/>
      <c r="K302" s="245"/>
      <c r="L302" s="245"/>
      <c r="M302" s="245"/>
      <c r="N302" s="245"/>
      <c r="O302" s="245"/>
      <c r="P302" s="245"/>
      <c r="Q302" s="245"/>
      <c r="R302" s="233"/>
      <c r="S302" s="233"/>
    </row>
    <row r="303" spans="1:19">
      <c r="A303" s="233"/>
      <c r="B303" s="245"/>
      <c r="C303" s="245"/>
      <c r="D303" s="245"/>
      <c r="E303" s="245"/>
      <c r="F303" s="245"/>
      <c r="G303" s="245"/>
      <c r="H303" s="245"/>
      <c r="I303" s="245"/>
      <c r="J303" s="245"/>
      <c r="K303" s="245"/>
      <c r="L303" s="245"/>
      <c r="M303" s="245"/>
      <c r="N303" s="245"/>
      <c r="O303" s="245"/>
      <c r="P303" s="245"/>
      <c r="Q303" s="245"/>
      <c r="R303" s="233"/>
      <c r="S303" s="233"/>
    </row>
    <row r="304" spans="1:19">
      <c r="A304" s="233"/>
      <c r="B304" s="245"/>
      <c r="C304" s="245"/>
      <c r="D304" s="245"/>
      <c r="E304" s="245"/>
      <c r="F304" s="245"/>
      <c r="G304" s="245"/>
      <c r="H304" s="245"/>
      <c r="I304" s="245"/>
      <c r="J304" s="245"/>
      <c r="K304" s="245"/>
      <c r="L304" s="245"/>
      <c r="M304" s="245"/>
      <c r="N304" s="245"/>
      <c r="O304" s="245"/>
      <c r="P304" s="245"/>
      <c r="Q304" s="245"/>
      <c r="R304" s="233"/>
      <c r="S304" s="233"/>
    </row>
    <row r="305" spans="1:19">
      <c r="A305" s="233"/>
      <c r="B305" s="245"/>
      <c r="C305" s="245"/>
      <c r="D305" s="245"/>
      <c r="E305" s="245"/>
      <c r="F305" s="245"/>
      <c r="G305" s="245"/>
      <c r="H305" s="245"/>
      <c r="I305" s="245"/>
      <c r="J305" s="245"/>
      <c r="K305" s="245"/>
      <c r="L305" s="245"/>
      <c r="M305" s="245"/>
      <c r="N305" s="245"/>
      <c r="O305" s="245"/>
      <c r="P305" s="245"/>
      <c r="Q305" s="245"/>
      <c r="R305" s="233"/>
      <c r="S305" s="23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>
    <tabColor theme="6" tint="0.59999389629810485"/>
  </sheetPr>
  <dimension ref="A1:S305"/>
  <sheetViews>
    <sheetView zoomScale="55" zoomScaleNormal="55" workbookViewId="0">
      <selection activeCell="A3" sqref="A3"/>
    </sheetView>
  </sheetViews>
  <sheetFormatPr defaultRowHeight="15.5"/>
  <cols>
    <col min="1" max="1" width="16.81640625" style="232" bestFit="1" customWidth="1"/>
    <col min="2" max="2" width="9.81640625" style="246" bestFit="1" customWidth="1"/>
    <col min="3" max="12" width="8.7265625" style="246"/>
    <col min="13" max="13" width="7.7265625" style="246" customWidth="1"/>
    <col min="14" max="17" width="8.7265625" style="246"/>
    <col min="18" max="16384" width="8.7265625" style="232"/>
  </cols>
  <sheetData>
    <row r="1" spans="1:19" ht="30" customHeight="1" thickBot="1">
      <c r="A1" s="247" t="s">
        <v>226</v>
      </c>
      <c r="B1" s="236"/>
      <c r="C1" s="236"/>
      <c r="D1" s="236"/>
      <c r="E1" s="236"/>
      <c r="F1" s="236"/>
      <c r="G1" s="236"/>
      <c r="H1" s="237"/>
      <c r="I1" s="237"/>
      <c r="J1" s="237"/>
      <c r="K1" s="237"/>
      <c r="L1" s="237"/>
      <c r="M1" s="237"/>
      <c r="N1" s="237"/>
      <c r="O1" s="237"/>
      <c r="P1" s="237"/>
      <c r="Q1" s="238"/>
      <c r="R1" s="233"/>
      <c r="S1" s="233"/>
    </row>
    <row r="2" spans="1:19" ht="17">
      <c r="A2" s="234" t="s">
        <v>206</v>
      </c>
      <c r="B2" s="239" t="s">
        <v>207</v>
      </c>
      <c r="C2" s="239" t="s">
        <v>208</v>
      </c>
      <c r="D2" s="239" t="s">
        <v>209</v>
      </c>
      <c r="E2" s="239" t="s">
        <v>210</v>
      </c>
      <c r="F2" s="239" t="s">
        <v>211</v>
      </c>
      <c r="G2" s="239" t="s">
        <v>212</v>
      </c>
      <c r="H2" s="239" t="s">
        <v>213</v>
      </c>
      <c r="I2" s="239" t="s">
        <v>214</v>
      </c>
      <c r="J2" s="239" t="s">
        <v>215</v>
      </c>
      <c r="K2" s="239" t="s">
        <v>216</v>
      </c>
      <c r="L2" s="239" t="s">
        <v>217</v>
      </c>
      <c r="M2" s="239" t="s">
        <v>218</v>
      </c>
      <c r="N2" s="239" t="s">
        <v>219</v>
      </c>
      <c r="O2" s="239" t="s">
        <v>220</v>
      </c>
      <c r="P2" s="239" t="s">
        <v>221</v>
      </c>
      <c r="Q2" s="240" t="s">
        <v>222</v>
      </c>
      <c r="R2" s="233"/>
      <c r="S2" s="233"/>
    </row>
    <row r="3" spans="1:19">
      <c r="A3" s="66"/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2"/>
      <c r="R3" s="233"/>
      <c r="S3" s="233"/>
    </row>
    <row r="4" spans="1:19">
      <c r="A4" s="62"/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2"/>
      <c r="R4" s="233"/>
      <c r="S4" s="233"/>
    </row>
    <row r="5" spans="1:19">
      <c r="A5" s="66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2"/>
      <c r="R5" s="233"/>
      <c r="S5" s="233"/>
    </row>
    <row r="6" spans="1:19">
      <c r="A6" s="235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2"/>
      <c r="R6" s="233"/>
      <c r="S6" s="233"/>
    </row>
    <row r="7" spans="1:19">
      <c r="A7" s="235"/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2"/>
      <c r="R7" s="233"/>
      <c r="S7" s="233"/>
    </row>
    <row r="8" spans="1:19">
      <c r="A8" s="235"/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2"/>
      <c r="R8" s="233"/>
      <c r="S8" s="233"/>
    </row>
    <row r="9" spans="1:19">
      <c r="A9" s="235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2"/>
      <c r="R9" s="233"/>
      <c r="S9" s="233"/>
    </row>
    <row r="10" spans="1:19">
      <c r="A10" s="235"/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2"/>
      <c r="R10" s="233"/>
      <c r="S10" s="233"/>
    </row>
    <row r="11" spans="1:19">
      <c r="A11" s="235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2"/>
      <c r="R11" s="233"/>
      <c r="S11" s="233"/>
    </row>
    <row r="12" spans="1:19">
      <c r="A12" s="235"/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  <c r="O12" s="241"/>
      <c r="P12" s="241"/>
      <c r="Q12" s="242"/>
      <c r="R12" s="233"/>
      <c r="S12" s="233"/>
    </row>
    <row r="13" spans="1:19">
      <c r="A13" s="235"/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2"/>
      <c r="R13" s="233"/>
      <c r="S13" s="233"/>
    </row>
    <row r="14" spans="1:19">
      <c r="A14" s="235"/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  <c r="O14" s="241"/>
      <c r="P14" s="241"/>
      <c r="Q14" s="242"/>
      <c r="R14" s="233"/>
      <c r="S14" s="233"/>
    </row>
    <row r="15" spans="1:19">
      <c r="A15" s="235"/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2"/>
      <c r="R15" s="233"/>
      <c r="S15" s="233"/>
    </row>
    <row r="16" spans="1:19">
      <c r="A16" s="235"/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2"/>
      <c r="R16" s="233"/>
      <c r="S16" s="233"/>
    </row>
    <row r="17" spans="1:19">
      <c r="A17" s="235"/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2"/>
      <c r="R17" s="233"/>
      <c r="S17" s="233"/>
    </row>
    <row r="18" spans="1:19">
      <c r="A18" s="235"/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2"/>
      <c r="R18" s="233"/>
      <c r="S18" s="233"/>
    </row>
    <row r="19" spans="1:19">
      <c r="A19" s="235"/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2"/>
      <c r="R19" s="233"/>
      <c r="S19" s="233"/>
    </row>
    <row r="20" spans="1:19">
      <c r="A20" s="235"/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2"/>
      <c r="R20" s="233"/>
      <c r="S20" s="233"/>
    </row>
    <row r="21" spans="1:19">
      <c r="A21" s="235"/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2"/>
      <c r="R21" s="233"/>
      <c r="S21" s="233"/>
    </row>
    <row r="22" spans="1:19">
      <c r="A22" s="235"/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2"/>
      <c r="R22" s="233"/>
      <c r="S22" s="233"/>
    </row>
    <row r="23" spans="1:19">
      <c r="A23" s="235"/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2"/>
      <c r="R23" s="233"/>
      <c r="S23" s="233"/>
    </row>
    <row r="24" spans="1:19">
      <c r="A24" s="235"/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  <c r="O24" s="241"/>
      <c r="P24" s="241"/>
      <c r="Q24" s="242"/>
      <c r="R24" s="233"/>
      <c r="S24" s="233"/>
    </row>
    <row r="25" spans="1:19">
      <c r="A25" s="235"/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2"/>
      <c r="R25" s="233"/>
      <c r="S25" s="233"/>
    </row>
    <row r="26" spans="1:19">
      <c r="A26" s="235"/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  <c r="O26" s="241"/>
      <c r="P26" s="241"/>
      <c r="Q26" s="242"/>
      <c r="R26" s="233"/>
      <c r="S26" s="233"/>
    </row>
    <row r="27" spans="1:19">
      <c r="A27" s="235"/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  <c r="O27" s="241"/>
      <c r="P27" s="241"/>
      <c r="Q27" s="242"/>
      <c r="R27" s="233"/>
      <c r="S27" s="233"/>
    </row>
    <row r="28" spans="1:19">
      <c r="A28" s="235"/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  <c r="O28" s="241"/>
      <c r="P28" s="241"/>
      <c r="Q28" s="242"/>
      <c r="R28" s="233"/>
      <c r="S28" s="233"/>
    </row>
    <row r="29" spans="1:19">
      <c r="A29" s="235"/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  <c r="O29" s="241"/>
      <c r="P29" s="241"/>
      <c r="Q29" s="242"/>
      <c r="R29" s="233"/>
      <c r="S29" s="233"/>
    </row>
    <row r="30" spans="1:19">
      <c r="A30" s="235"/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2"/>
      <c r="R30" s="233"/>
      <c r="S30" s="233"/>
    </row>
    <row r="31" spans="1:19">
      <c r="A31" s="235"/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2"/>
      <c r="R31" s="233"/>
      <c r="S31" s="233"/>
    </row>
    <row r="32" spans="1:19">
      <c r="A32" s="235"/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2"/>
      <c r="R32" s="233"/>
      <c r="S32" s="233"/>
    </row>
    <row r="33" spans="1:19">
      <c r="A33" s="235"/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2"/>
      <c r="R33" s="233"/>
      <c r="S33" s="233"/>
    </row>
    <row r="34" spans="1:19">
      <c r="A34" s="235"/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2"/>
      <c r="R34" s="233"/>
      <c r="S34" s="233"/>
    </row>
    <row r="35" spans="1:19">
      <c r="A35" s="235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2"/>
      <c r="R35" s="233"/>
      <c r="S35" s="233"/>
    </row>
    <row r="36" spans="1:19">
      <c r="A36" s="235"/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2"/>
      <c r="R36" s="233"/>
      <c r="S36" s="233"/>
    </row>
    <row r="37" spans="1:19">
      <c r="A37" s="235"/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2"/>
      <c r="R37" s="233"/>
      <c r="S37" s="233"/>
    </row>
    <row r="38" spans="1:19">
      <c r="A38" s="235"/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2"/>
      <c r="R38" s="233"/>
      <c r="S38" s="233"/>
    </row>
    <row r="39" spans="1:19">
      <c r="A39" s="235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1"/>
      <c r="P39" s="241"/>
      <c r="Q39" s="242"/>
      <c r="R39" s="233"/>
      <c r="S39" s="233"/>
    </row>
    <row r="40" spans="1:19">
      <c r="A40" s="235"/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2"/>
      <c r="R40" s="233"/>
      <c r="S40" s="233"/>
    </row>
    <row r="41" spans="1:19">
      <c r="A41" s="235"/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2"/>
      <c r="R41" s="233"/>
      <c r="S41" s="233"/>
    </row>
    <row r="42" spans="1:19">
      <c r="A42" s="235"/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2"/>
      <c r="R42" s="233"/>
      <c r="S42" s="233"/>
    </row>
    <row r="43" spans="1:19">
      <c r="A43" s="235"/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2"/>
      <c r="R43" s="233"/>
      <c r="S43" s="233"/>
    </row>
    <row r="44" spans="1:19">
      <c r="A44" s="235"/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2"/>
      <c r="R44" s="233"/>
      <c r="S44" s="233"/>
    </row>
    <row r="45" spans="1:19">
      <c r="A45" s="235"/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2"/>
      <c r="R45" s="233"/>
      <c r="S45" s="233"/>
    </row>
    <row r="46" spans="1:19">
      <c r="A46" s="235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2"/>
      <c r="R46" s="233"/>
      <c r="S46" s="233"/>
    </row>
    <row r="47" spans="1:19">
      <c r="A47" s="235"/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  <c r="R47" s="233"/>
      <c r="S47" s="233"/>
    </row>
    <row r="48" spans="1:19">
      <c r="A48" s="235"/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2"/>
      <c r="R48" s="233"/>
      <c r="S48" s="233"/>
    </row>
    <row r="49" spans="1:19">
      <c r="A49" s="235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2"/>
      <c r="R49" s="233"/>
      <c r="S49" s="233"/>
    </row>
    <row r="50" spans="1:19">
      <c r="A50" s="235"/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2"/>
      <c r="R50" s="233"/>
      <c r="S50" s="233"/>
    </row>
    <row r="51" spans="1:19">
      <c r="A51" s="235"/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2"/>
      <c r="R51" s="233"/>
      <c r="S51" s="233"/>
    </row>
    <row r="52" spans="1:19">
      <c r="A52" s="235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2"/>
      <c r="R52" s="233"/>
      <c r="S52" s="233"/>
    </row>
    <row r="53" spans="1:19">
      <c r="A53" s="235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2"/>
      <c r="R53" s="233"/>
      <c r="S53" s="233"/>
    </row>
    <row r="54" spans="1:19">
      <c r="A54" s="235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2"/>
      <c r="R54" s="233"/>
      <c r="S54" s="233"/>
    </row>
    <row r="55" spans="1:19">
      <c r="A55" s="235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2"/>
      <c r="R55" s="233"/>
      <c r="S55" s="233"/>
    </row>
    <row r="56" spans="1:19">
      <c r="A56" s="235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2"/>
      <c r="R56" s="233"/>
      <c r="S56" s="233"/>
    </row>
    <row r="57" spans="1:19">
      <c r="A57" s="235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2"/>
      <c r="R57" s="233"/>
      <c r="S57" s="233"/>
    </row>
    <row r="58" spans="1:19">
      <c r="A58" s="235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2"/>
      <c r="R58" s="233"/>
      <c r="S58" s="233"/>
    </row>
    <row r="59" spans="1:19">
      <c r="A59" s="235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2"/>
      <c r="R59" s="233"/>
      <c r="S59" s="233"/>
    </row>
    <row r="60" spans="1:19">
      <c r="A60" s="235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2"/>
      <c r="R60" s="233"/>
      <c r="S60" s="233"/>
    </row>
    <row r="61" spans="1:19">
      <c r="A61" s="235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2"/>
      <c r="R61" s="233"/>
      <c r="S61" s="233"/>
    </row>
    <row r="62" spans="1:19">
      <c r="A62" s="235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2"/>
      <c r="R62" s="233"/>
      <c r="S62" s="233"/>
    </row>
    <row r="63" spans="1:19">
      <c r="A63" s="235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2"/>
      <c r="R63" s="233"/>
      <c r="S63" s="233"/>
    </row>
    <row r="64" spans="1:19">
      <c r="A64" s="235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2"/>
      <c r="R64" s="233"/>
      <c r="S64" s="233"/>
    </row>
    <row r="65" spans="1:19">
      <c r="A65" s="235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2"/>
      <c r="R65" s="233"/>
      <c r="S65" s="233"/>
    </row>
    <row r="66" spans="1:19">
      <c r="A66" s="235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2"/>
      <c r="R66" s="233"/>
      <c r="S66" s="233"/>
    </row>
    <row r="67" spans="1:19">
      <c r="A67" s="235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2"/>
      <c r="R67" s="233"/>
      <c r="S67" s="233"/>
    </row>
    <row r="68" spans="1:19">
      <c r="A68" s="235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2"/>
      <c r="R68" s="233"/>
      <c r="S68" s="233"/>
    </row>
    <row r="69" spans="1:19">
      <c r="A69" s="235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2"/>
      <c r="R69" s="233"/>
      <c r="S69" s="233"/>
    </row>
    <row r="70" spans="1:19">
      <c r="A70" s="235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2"/>
      <c r="R70" s="233"/>
      <c r="S70" s="233"/>
    </row>
    <row r="71" spans="1:19">
      <c r="A71" s="235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2"/>
      <c r="R71" s="233"/>
      <c r="S71" s="233"/>
    </row>
    <row r="72" spans="1:19">
      <c r="A72" s="235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2"/>
      <c r="R72" s="233"/>
      <c r="S72" s="233"/>
    </row>
    <row r="73" spans="1:19">
      <c r="A73" s="235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2"/>
      <c r="R73" s="233"/>
      <c r="S73" s="233"/>
    </row>
    <row r="74" spans="1:19">
      <c r="A74" s="235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2"/>
      <c r="R74" s="233"/>
      <c r="S74" s="233"/>
    </row>
    <row r="75" spans="1:19">
      <c r="A75" s="235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2"/>
      <c r="R75" s="233"/>
      <c r="S75" s="233"/>
    </row>
    <row r="76" spans="1:19">
      <c r="A76" s="235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2"/>
      <c r="R76" s="233"/>
      <c r="S76" s="233"/>
    </row>
    <row r="77" spans="1:19">
      <c r="A77" s="235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2"/>
      <c r="R77" s="233"/>
      <c r="S77" s="233"/>
    </row>
    <row r="78" spans="1:19">
      <c r="A78" s="235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2"/>
      <c r="R78" s="233"/>
      <c r="S78" s="233"/>
    </row>
    <row r="79" spans="1:19">
      <c r="A79" s="235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2"/>
      <c r="R79" s="233"/>
      <c r="S79" s="233"/>
    </row>
    <row r="80" spans="1:19">
      <c r="A80" s="235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2"/>
      <c r="R80" s="233"/>
      <c r="S80" s="233"/>
    </row>
    <row r="81" spans="1:19">
      <c r="A81" s="235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2"/>
      <c r="R81" s="233"/>
      <c r="S81" s="233"/>
    </row>
    <row r="82" spans="1:19">
      <c r="A82" s="235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2"/>
      <c r="R82" s="233"/>
      <c r="S82" s="233"/>
    </row>
    <row r="83" spans="1:19">
      <c r="A83" s="235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2"/>
      <c r="R83" s="233"/>
      <c r="S83" s="233"/>
    </row>
    <row r="84" spans="1:19">
      <c r="A84" s="235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2"/>
      <c r="R84" s="233"/>
      <c r="S84" s="233"/>
    </row>
    <row r="85" spans="1:19">
      <c r="A85" s="235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2"/>
      <c r="R85" s="233"/>
      <c r="S85" s="233"/>
    </row>
    <row r="86" spans="1:19">
      <c r="A86" s="235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2"/>
      <c r="R86" s="233"/>
      <c r="S86" s="233"/>
    </row>
    <row r="87" spans="1:19">
      <c r="A87" s="235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2"/>
      <c r="R87" s="233"/>
      <c r="S87" s="233"/>
    </row>
    <row r="88" spans="1:19">
      <c r="A88" s="2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2"/>
      <c r="R88" s="233"/>
      <c r="S88" s="233"/>
    </row>
    <row r="89" spans="1:19">
      <c r="A89" s="235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2"/>
      <c r="R89" s="233"/>
      <c r="S89" s="233"/>
    </row>
    <row r="90" spans="1:19">
      <c r="A90" s="235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2"/>
      <c r="R90" s="233"/>
      <c r="S90" s="233"/>
    </row>
    <row r="91" spans="1:19">
      <c r="A91" s="235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2"/>
      <c r="R91" s="233"/>
      <c r="S91" s="233"/>
    </row>
    <row r="92" spans="1:19">
      <c r="A92" s="235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2"/>
      <c r="R92" s="233"/>
      <c r="S92" s="233"/>
    </row>
    <row r="93" spans="1:19">
      <c r="A93" s="235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2"/>
      <c r="R93" s="233"/>
      <c r="S93" s="233"/>
    </row>
    <row r="94" spans="1:19">
      <c r="A94" s="235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2"/>
      <c r="R94" s="233"/>
      <c r="S94" s="233"/>
    </row>
    <row r="95" spans="1:19">
      <c r="A95" s="235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2"/>
      <c r="R95" s="233"/>
      <c r="S95" s="233"/>
    </row>
    <row r="96" spans="1:19">
      <c r="A96" s="235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2"/>
      <c r="R96" s="233"/>
      <c r="S96" s="233"/>
    </row>
    <row r="97" spans="1:19">
      <c r="A97" s="235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2"/>
      <c r="R97" s="233"/>
      <c r="S97" s="233"/>
    </row>
    <row r="98" spans="1:19">
      <c r="A98" s="235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2"/>
      <c r="R98" s="233"/>
      <c r="S98" s="233"/>
    </row>
    <row r="99" spans="1:19">
      <c r="A99" s="235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2"/>
      <c r="R99" s="233"/>
      <c r="S99" s="233"/>
    </row>
    <row r="100" spans="1:19">
      <c r="A100" s="235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2"/>
      <c r="R100" s="233"/>
      <c r="S100" s="233"/>
    </row>
    <row r="101" spans="1:19">
      <c r="A101" s="235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2"/>
      <c r="R101" s="233"/>
      <c r="S101" s="233"/>
    </row>
    <row r="102" spans="1:19">
      <c r="A102" s="235"/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  <c r="O102" s="241"/>
      <c r="P102" s="241"/>
      <c r="Q102" s="242"/>
      <c r="R102" s="233"/>
      <c r="S102" s="233"/>
    </row>
    <row r="103" spans="1:19">
      <c r="A103" s="235"/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  <c r="O103" s="241"/>
      <c r="P103" s="241"/>
      <c r="Q103" s="242"/>
      <c r="R103" s="233"/>
      <c r="S103" s="233"/>
    </row>
    <row r="104" spans="1:19">
      <c r="A104" s="235"/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2"/>
      <c r="R104" s="233"/>
      <c r="S104" s="233"/>
    </row>
    <row r="105" spans="1:19">
      <c r="A105" s="235"/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Q105" s="242"/>
      <c r="R105" s="233"/>
      <c r="S105" s="233"/>
    </row>
    <row r="106" spans="1:19">
      <c r="A106" s="235"/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2"/>
      <c r="R106" s="233"/>
      <c r="S106" s="233"/>
    </row>
    <row r="107" spans="1:19">
      <c r="A107" s="235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2"/>
      <c r="R107" s="233"/>
      <c r="S107" s="233"/>
    </row>
    <row r="108" spans="1:19">
      <c r="A108" s="235"/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  <c r="O108" s="241"/>
      <c r="P108" s="241"/>
      <c r="Q108" s="242"/>
      <c r="R108" s="233"/>
      <c r="S108" s="233"/>
    </row>
    <row r="109" spans="1:19">
      <c r="A109" s="235"/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  <c r="O109" s="241"/>
      <c r="P109" s="241"/>
      <c r="Q109" s="242"/>
      <c r="R109" s="233"/>
      <c r="S109" s="233"/>
    </row>
    <row r="110" spans="1:19">
      <c r="A110" s="235"/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  <c r="O110" s="241"/>
      <c r="P110" s="241"/>
      <c r="Q110" s="242"/>
      <c r="R110" s="233"/>
      <c r="S110" s="233"/>
    </row>
    <row r="111" spans="1:19">
      <c r="A111" s="235"/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  <c r="O111" s="241"/>
      <c r="P111" s="241"/>
      <c r="Q111" s="242"/>
      <c r="R111" s="233"/>
      <c r="S111" s="233"/>
    </row>
    <row r="112" spans="1:19">
      <c r="A112" s="235"/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  <c r="O112" s="241"/>
      <c r="P112" s="241"/>
      <c r="Q112" s="242"/>
      <c r="R112" s="233"/>
      <c r="S112" s="233"/>
    </row>
    <row r="113" spans="1:19">
      <c r="A113" s="235"/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  <c r="O113" s="241"/>
      <c r="P113" s="241"/>
      <c r="Q113" s="242"/>
      <c r="R113" s="233"/>
      <c r="S113" s="233"/>
    </row>
    <row r="114" spans="1:19">
      <c r="A114" s="235"/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  <c r="O114" s="241"/>
      <c r="P114" s="241"/>
      <c r="Q114" s="242"/>
      <c r="R114" s="233"/>
      <c r="S114" s="233"/>
    </row>
    <row r="115" spans="1:19">
      <c r="A115" s="235"/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  <c r="O115" s="241"/>
      <c r="P115" s="241"/>
      <c r="Q115" s="242"/>
      <c r="R115" s="233"/>
      <c r="S115" s="233"/>
    </row>
    <row r="116" spans="1:19">
      <c r="A116" s="235"/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  <c r="O116" s="241"/>
      <c r="P116" s="241"/>
      <c r="Q116" s="242"/>
      <c r="R116" s="233"/>
      <c r="S116" s="233"/>
    </row>
    <row r="117" spans="1:19">
      <c r="A117" s="2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  <c r="O117" s="241"/>
      <c r="P117" s="241"/>
      <c r="Q117" s="242"/>
      <c r="R117" s="233"/>
      <c r="S117" s="233"/>
    </row>
    <row r="118" spans="1:19">
      <c r="A118" s="235"/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  <c r="O118" s="241"/>
      <c r="P118" s="241"/>
      <c r="Q118" s="242"/>
      <c r="R118" s="233"/>
      <c r="S118" s="233"/>
    </row>
    <row r="119" spans="1:19">
      <c r="A119" s="235"/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  <c r="O119" s="241"/>
      <c r="P119" s="241"/>
      <c r="Q119" s="242"/>
      <c r="R119" s="233"/>
      <c r="S119" s="233"/>
    </row>
    <row r="120" spans="1:19">
      <c r="A120" s="235"/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  <c r="O120" s="241"/>
      <c r="P120" s="241"/>
      <c r="Q120" s="242"/>
      <c r="R120" s="233"/>
      <c r="S120" s="233"/>
    </row>
    <row r="121" spans="1:19">
      <c r="A121" s="235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1"/>
      <c r="P121" s="241"/>
      <c r="Q121" s="242"/>
      <c r="R121" s="233"/>
      <c r="S121" s="233"/>
    </row>
    <row r="122" spans="1:19">
      <c r="A122" s="235"/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  <c r="O122" s="241"/>
      <c r="P122" s="241"/>
      <c r="Q122" s="242"/>
      <c r="R122" s="233"/>
      <c r="S122" s="233"/>
    </row>
    <row r="123" spans="1:19">
      <c r="A123" s="235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  <c r="O123" s="241"/>
      <c r="P123" s="241"/>
      <c r="Q123" s="242"/>
      <c r="R123" s="233"/>
      <c r="S123" s="233"/>
    </row>
    <row r="124" spans="1:19">
      <c r="A124" s="235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241"/>
      <c r="Q124" s="242"/>
      <c r="R124" s="233"/>
      <c r="S124" s="233"/>
    </row>
    <row r="125" spans="1:19">
      <c r="A125" s="235"/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  <c r="O125" s="241"/>
      <c r="P125" s="241"/>
      <c r="Q125" s="242"/>
      <c r="R125" s="233"/>
      <c r="S125" s="233"/>
    </row>
    <row r="126" spans="1:19">
      <c r="A126" s="235"/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  <c r="O126" s="241"/>
      <c r="P126" s="241"/>
      <c r="Q126" s="242"/>
      <c r="R126" s="233"/>
      <c r="S126" s="233"/>
    </row>
    <row r="127" spans="1:19">
      <c r="A127" s="235"/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241"/>
      <c r="Q127" s="242"/>
      <c r="R127" s="233"/>
      <c r="S127" s="233"/>
    </row>
    <row r="128" spans="1:19">
      <c r="A128" s="235"/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  <c r="O128" s="241"/>
      <c r="P128" s="241"/>
      <c r="Q128" s="242"/>
      <c r="R128" s="233"/>
      <c r="S128" s="233"/>
    </row>
    <row r="129" spans="1:19">
      <c r="A129" s="235"/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  <c r="O129" s="241"/>
      <c r="P129" s="241"/>
      <c r="Q129" s="242"/>
      <c r="R129" s="233"/>
      <c r="S129" s="233"/>
    </row>
    <row r="130" spans="1:19">
      <c r="A130" s="235"/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  <c r="O130" s="241"/>
      <c r="P130" s="241"/>
      <c r="Q130" s="242"/>
      <c r="R130" s="233"/>
      <c r="S130" s="233"/>
    </row>
    <row r="131" spans="1:19">
      <c r="A131" s="235"/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  <c r="O131" s="241"/>
      <c r="P131" s="241"/>
      <c r="Q131" s="242"/>
      <c r="R131" s="233"/>
      <c r="S131" s="233"/>
    </row>
    <row r="132" spans="1:19">
      <c r="A132" s="235"/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241"/>
      <c r="Q132" s="242"/>
      <c r="R132" s="233"/>
      <c r="S132" s="233"/>
    </row>
    <row r="133" spans="1:19">
      <c r="A133" s="235"/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  <c r="O133" s="241"/>
      <c r="P133" s="241"/>
      <c r="Q133" s="242"/>
      <c r="R133" s="233"/>
      <c r="S133" s="233"/>
    </row>
    <row r="134" spans="1:19">
      <c r="A134" s="235"/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  <c r="O134" s="241"/>
      <c r="P134" s="241"/>
      <c r="Q134" s="242"/>
      <c r="R134" s="233"/>
      <c r="S134" s="233"/>
    </row>
    <row r="135" spans="1:19">
      <c r="A135" s="235"/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241"/>
      <c r="Q135" s="242"/>
      <c r="R135" s="233"/>
      <c r="S135" s="233"/>
    </row>
    <row r="136" spans="1:19">
      <c r="A136" s="235"/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  <c r="O136" s="241"/>
      <c r="P136" s="241"/>
      <c r="Q136" s="242"/>
      <c r="R136" s="233"/>
      <c r="S136" s="233"/>
    </row>
    <row r="137" spans="1:19">
      <c r="A137" s="235"/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  <c r="O137" s="241"/>
      <c r="P137" s="241"/>
      <c r="Q137" s="242"/>
      <c r="R137" s="233"/>
      <c r="S137" s="233"/>
    </row>
    <row r="138" spans="1:19">
      <c r="A138" s="235"/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  <c r="P138" s="241"/>
      <c r="Q138" s="242"/>
      <c r="R138" s="233"/>
      <c r="S138" s="233"/>
    </row>
    <row r="139" spans="1:19">
      <c r="A139" s="235"/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  <c r="P139" s="241"/>
      <c r="Q139" s="242"/>
      <c r="R139" s="233"/>
      <c r="S139" s="233"/>
    </row>
    <row r="140" spans="1:19">
      <c r="A140" s="235"/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2"/>
      <c r="R140" s="233"/>
      <c r="S140" s="233"/>
    </row>
    <row r="141" spans="1:19">
      <c r="A141" s="235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  <c r="O141" s="241"/>
      <c r="P141" s="241"/>
      <c r="Q141" s="242"/>
      <c r="R141" s="233"/>
      <c r="S141" s="233"/>
    </row>
    <row r="142" spans="1:19">
      <c r="A142" s="235"/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  <c r="O142" s="241"/>
      <c r="P142" s="241"/>
      <c r="Q142" s="242"/>
      <c r="R142" s="233"/>
      <c r="S142" s="233"/>
    </row>
    <row r="143" spans="1:19">
      <c r="A143" s="235"/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  <c r="O143" s="241"/>
      <c r="P143" s="241"/>
      <c r="Q143" s="242"/>
      <c r="R143" s="233"/>
      <c r="S143" s="233"/>
    </row>
    <row r="144" spans="1:19">
      <c r="A144" s="235"/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  <c r="O144" s="241"/>
      <c r="P144" s="241"/>
      <c r="Q144" s="242"/>
      <c r="R144" s="233"/>
      <c r="S144" s="233"/>
    </row>
    <row r="145" spans="1:19">
      <c r="A145" s="235"/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  <c r="O145" s="241"/>
      <c r="P145" s="241"/>
      <c r="Q145" s="242"/>
      <c r="R145" s="233"/>
      <c r="S145" s="233"/>
    </row>
    <row r="146" spans="1:19">
      <c r="A146" s="235"/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  <c r="O146" s="241"/>
      <c r="P146" s="241"/>
      <c r="Q146" s="242"/>
      <c r="R146" s="233"/>
      <c r="S146" s="233"/>
    </row>
    <row r="147" spans="1:19">
      <c r="A147" s="235"/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  <c r="O147" s="241"/>
      <c r="P147" s="241"/>
      <c r="Q147" s="242"/>
      <c r="R147" s="233"/>
      <c r="S147" s="233"/>
    </row>
    <row r="148" spans="1:19">
      <c r="A148" s="235"/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1"/>
      <c r="P148" s="241"/>
      <c r="Q148" s="242"/>
      <c r="R148" s="233"/>
      <c r="S148" s="233"/>
    </row>
    <row r="149" spans="1:19">
      <c r="A149" s="235"/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  <c r="O149" s="241"/>
      <c r="P149" s="241"/>
      <c r="Q149" s="242"/>
      <c r="R149" s="233"/>
      <c r="S149" s="233"/>
    </row>
    <row r="150" spans="1:19">
      <c r="A150" s="235"/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  <c r="O150" s="241"/>
      <c r="P150" s="241"/>
      <c r="Q150" s="242"/>
      <c r="R150" s="233"/>
      <c r="S150" s="233"/>
    </row>
    <row r="151" spans="1:19">
      <c r="A151" s="235"/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  <c r="O151" s="241"/>
      <c r="P151" s="241"/>
      <c r="Q151" s="242"/>
      <c r="R151" s="233"/>
      <c r="S151" s="233"/>
    </row>
    <row r="152" spans="1:19">
      <c r="A152" s="235"/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2"/>
      <c r="R152" s="233"/>
      <c r="S152" s="233"/>
    </row>
    <row r="153" spans="1:19">
      <c r="A153" s="235"/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  <c r="O153" s="241"/>
      <c r="P153" s="241"/>
      <c r="Q153" s="242"/>
      <c r="R153" s="233"/>
      <c r="S153" s="233"/>
    </row>
    <row r="154" spans="1:19">
      <c r="A154" s="235"/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  <c r="O154" s="241"/>
      <c r="P154" s="241"/>
      <c r="Q154" s="242"/>
      <c r="R154" s="233"/>
      <c r="S154" s="233"/>
    </row>
    <row r="155" spans="1:19">
      <c r="A155" s="235"/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  <c r="O155" s="241"/>
      <c r="P155" s="241"/>
      <c r="Q155" s="242"/>
      <c r="R155" s="233"/>
      <c r="S155" s="233"/>
    </row>
    <row r="156" spans="1:19">
      <c r="A156" s="235"/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  <c r="O156" s="241"/>
      <c r="P156" s="241"/>
      <c r="Q156" s="242"/>
      <c r="R156" s="233"/>
      <c r="S156" s="233"/>
    </row>
    <row r="157" spans="1:19">
      <c r="A157" s="235"/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  <c r="O157" s="241"/>
      <c r="P157" s="241"/>
      <c r="Q157" s="242"/>
      <c r="R157" s="233"/>
      <c r="S157" s="233"/>
    </row>
    <row r="158" spans="1:19">
      <c r="A158" s="235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  <c r="O158" s="241"/>
      <c r="P158" s="241"/>
      <c r="Q158" s="242"/>
      <c r="R158" s="233"/>
      <c r="S158" s="233"/>
    </row>
    <row r="159" spans="1:19">
      <c r="A159" s="235"/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  <c r="O159" s="241"/>
      <c r="P159" s="241"/>
      <c r="Q159" s="242"/>
      <c r="R159" s="233"/>
      <c r="S159" s="233"/>
    </row>
    <row r="160" spans="1:19">
      <c r="A160" s="235"/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  <c r="O160" s="241"/>
      <c r="P160" s="241"/>
      <c r="Q160" s="242"/>
      <c r="R160" s="233"/>
      <c r="S160" s="233"/>
    </row>
    <row r="161" spans="1:19">
      <c r="A161" s="235"/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  <c r="O161" s="241"/>
      <c r="P161" s="241"/>
      <c r="Q161" s="242"/>
      <c r="R161" s="233"/>
      <c r="S161" s="233"/>
    </row>
    <row r="162" spans="1:19">
      <c r="A162" s="235"/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  <c r="O162" s="241"/>
      <c r="P162" s="241"/>
      <c r="Q162" s="242"/>
      <c r="R162" s="233"/>
      <c r="S162" s="233"/>
    </row>
    <row r="163" spans="1:19">
      <c r="A163" s="235"/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  <c r="O163" s="241"/>
      <c r="P163" s="241"/>
      <c r="Q163" s="242"/>
      <c r="R163" s="233"/>
      <c r="S163" s="233"/>
    </row>
    <row r="164" spans="1:19">
      <c r="A164" s="235"/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  <c r="O164" s="241"/>
      <c r="P164" s="241"/>
      <c r="Q164" s="242"/>
      <c r="R164" s="233"/>
      <c r="S164" s="233"/>
    </row>
    <row r="165" spans="1:19">
      <c r="A165" s="235"/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  <c r="O165" s="241"/>
      <c r="P165" s="241"/>
      <c r="Q165" s="242"/>
      <c r="R165" s="233"/>
      <c r="S165" s="233"/>
    </row>
    <row r="166" spans="1:19">
      <c r="A166" s="235"/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  <c r="O166" s="241"/>
      <c r="P166" s="241"/>
      <c r="Q166" s="242"/>
      <c r="R166" s="233"/>
      <c r="S166" s="233"/>
    </row>
    <row r="167" spans="1:19">
      <c r="A167" s="235"/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  <c r="O167" s="241"/>
      <c r="P167" s="241"/>
      <c r="Q167" s="242"/>
      <c r="R167" s="233"/>
      <c r="S167" s="233"/>
    </row>
    <row r="168" spans="1:19">
      <c r="A168" s="235"/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  <c r="O168" s="241"/>
      <c r="P168" s="241"/>
      <c r="Q168" s="242"/>
      <c r="R168" s="233"/>
      <c r="S168" s="233"/>
    </row>
    <row r="169" spans="1:19">
      <c r="A169" s="235"/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  <c r="O169" s="241"/>
      <c r="P169" s="241"/>
      <c r="Q169" s="242"/>
      <c r="R169" s="233"/>
      <c r="S169" s="233"/>
    </row>
    <row r="170" spans="1:19">
      <c r="A170" s="235"/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  <c r="O170" s="241"/>
      <c r="P170" s="241"/>
      <c r="Q170" s="242"/>
      <c r="R170" s="233"/>
      <c r="S170" s="233"/>
    </row>
    <row r="171" spans="1:19">
      <c r="A171" s="235"/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  <c r="O171" s="241"/>
      <c r="P171" s="241"/>
      <c r="Q171" s="242"/>
      <c r="R171" s="233"/>
      <c r="S171" s="233"/>
    </row>
    <row r="172" spans="1:19">
      <c r="A172" s="235"/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  <c r="O172" s="241"/>
      <c r="P172" s="241"/>
      <c r="Q172" s="242"/>
      <c r="R172" s="233"/>
      <c r="S172" s="233"/>
    </row>
    <row r="173" spans="1:19">
      <c r="A173" s="235"/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  <c r="O173" s="241"/>
      <c r="P173" s="241"/>
      <c r="Q173" s="242"/>
      <c r="R173" s="233"/>
      <c r="S173" s="233"/>
    </row>
    <row r="174" spans="1:19">
      <c r="A174" s="235"/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  <c r="O174" s="241"/>
      <c r="P174" s="241"/>
      <c r="Q174" s="242"/>
      <c r="R174" s="233"/>
      <c r="S174" s="233"/>
    </row>
    <row r="175" spans="1:19">
      <c r="A175" s="235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1"/>
      <c r="P175" s="241"/>
      <c r="Q175" s="242"/>
      <c r="R175" s="233"/>
      <c r="S175" s="233"/>
    </row>
    <row r="176" spans="1:19">
      <c r="A176" s="235"/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  <c r="O176" s="241"/>
      <c r="P176" s="241"/>
      <c r="Q176" s="242"/>
      <c r="R176" s="233"/>
      <c r="S176" s="233"/>
    </row>
    <row r="177" spans="1:19">
      <c r="A177" s="235"/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  <c r="O177" s="241"/>
      <c r="P177" s="241"/>
      <c r="Q177" s="242"/>
      <c r="R177" s="233"/>
      <c r="S177" s="233"/>
    </row>
    <row r="178" spans="1:19">
      <c r="A178" s="235"/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  <c r="O178" s="241"/>
      <c r="P178" s="241"/>
      <c r="Q178" s="242"/>
      <c r="R178" s="233"/>
      <c r="S178" s="233"/>
    </row>
    <row r="179" spans="1:19">
      <c r="A179" s="235"/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  <c r="O179" s="241"/>
      <c r="P179" s="241"/>
      <c r="Q179" s="242"/>
      <c r="R179" s="233"/>
      <c r="S179" s="233"/>
    </row>
    <row r="180" spans="1:19">
      <c r="A180" s="235"/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  <c r="O180" s="241"/>
      <c r="P180" s="241"/>
      <c r="Q180" s="242"/>
      <c r="R180" s="233"/>
      <c r="S180" s="233"/>
    </row>
    <row r="181" spans="1:19">
      <c r="A181" s="235"/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  <c r="O181" s="241"/>
      <c r="P181" s="241"/>
      <c r="Q181" s="242"/>
      <c r="R181" s="233"/>
      <c r="S181" s="233"/>
    </row>
    <row r="182" spans="1:19">
      <c r="A182" s="235"/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  <c r="O182" s="241"/>
      <c r="P182" s="241"/>
      <c r="Q182" s="242"/>
      <c r="R182" s="233"/>
      <c r="S182" s="233"/>
    </row>
    <row r="183" spans="1:19">
      <c r="A183" s="235"/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  <c r="O183" s="241"/>
      <c r="P183" s="241"/>
      <c r="Q183" s="242"/>
      <c r="R183" s="233"/>
      <c r="S183" s="233"/>
    </row>
    <row r="184" spans="1:19">
      <c r="A184" s="235"/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  <c r="O184" s="241"/>
      <c r="P184" s="241"/>
      <c r="Q184" s="242"/>
      <c r="R184" s="233"/>
      <c r="S184" s="233"/>
    </row>
    <row r="185" spans="1:19">
      <c r="A185" s="235"/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  <c r="O185" s="241"/>
      <c r="P185" s="241"/>
      <c r="Q185" s="242"/>
      <c r="R185" s="233"/>
      <c r="S185" s="233"/>
    </row>
    <row r="186" spans="1:19">
      <c r="A186" s="235"/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  <c r="O186" s="241"/>
      <c r="P186" s="241"/>
      <c r="Q186" s="242"/>
      <c r="R186" s="233"/>
      <c r="S186" s="233"/>
    </row>
    <row r="187" spans="1:19">
      <c r="A187" s="235"/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  <c r="O187" s="241"/>
      <c r="P187" s="241"/>
      <c r="Q187" s="242"/>
      <c r="R187" s="233"/>
      <c r="S187" s="233"/>
    </row>
    <row r="188" spans="1:19">
      <c r="A188" s="235"/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  <c r="O188" s="241"/>
      <c r="P188" s="241"/>
      <c r="Q188" s="242"/>
      <c r="R188" s="233"/>
      <c r="S188" s="233"/>
    </row>
    <row r="189" spans="1:19">
      <c r="A189" s="235"/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  <c r="O189" s="241"/>
      <c r="P189" s="241"/>
      <c r="Q189" s="242"/>
      <c r="R189" s="233"/>
      <c r="S189" s="233"/>
    </row>
    <row r="190" spans="1:19">
      <c r="A190" s="235"/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  <c r="O190" s="241"/>
      <c r="P190" s="241"/>
      <c r="Q190" s="242"/>
      <c r="R190" s="233"/>
      <c r="S190" s="233"/>
    </row>
    <row r="191" spans="1:19">
      <c r="A191" s="235"/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  <c r="O191" s="241"/>
      <c r="P191" s="241"/>
      <c r="Q191" s="242"/>
      <c r="R191" s="233"/>
      <c r="S191" s="233"/>
    </row>
    <row r="192" spans="1:19">
      <c r="A192" s="235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  <c r="O192" s="241"/>
      <c r="P192" s="241"/>
      <c r="Q192" s="242"/>
      <c r="R192" s="233"/>
      <c r="S192" s="233"/>
    </row>
    <row r="193" spans="1:19">
      <c r="A193" s="235"/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2"/>
      <c r="R193" s="233"/>
      <c r="S193" s="233"/>
    </row>
    <row r="194" spans="1:19">
      <c r="A194" s="235"/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  <c r="O194" s="241"/>
      <c r="P194" s="241"/>
      <c r="Q194" s="242"/>
      <c r="R194" s="233"/>
      <c r="S194" s="233"/>
    </row>
    <row r="195" spans="1:19">
      <c r="A195" s="235"/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  <c r="O195" s="241"/>
      <c r="P195" s="241"/>
      <c r="Q195" s="242"/>
      <c r="R195" s="233"/>
      <c r="S195" s="233"/>
    </row>
    <row r="196" spans="1:19">
      <c r="A196" s="235"/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  <c r="O196" s="241"/>
      <c r="P196" s="241"/>
      <c r="Q196" s="242"/>
      <c r="R196" s="233"/>
      <c r="S196" s="233"/>
    </row>
    <row r="197" spans="1:19">
      <c r="A197" s="235"/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  <c r="O197" s="241"/>
      <c r="P197" s="241"/>
      <c r="Q197" s="242"/>
      <c r="R197" s="233"/>
      <c r="S197" s="233"/>
    </row>
    <row r="198" spans="1:19">
      <c r="A198" s="235"/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  <c r="O198" s="241"/>
      <c r="P198" s="241"/>
      <c r="Q198" s="242"/>
      <c r="R198" s="233"/>
      <c r="S198" s="233"/>
    </row>
    <row r="199" spans="1:19">
      <c r="A199" s="235"/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  <c r="O199" s="241"/>
      <c r="P199" s="241"/>
      <c r="Q199" s="242"/>
      <c r="R199" s="233"/>
      <c r="S199" s="233"/>
    </row>
    <row r="200" spans="1:19">
      <c r="A200" s="235"/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  <c r="O200" s="241"/>
      <c r="P200" s="241"/>
      <c r="Q200" s="242"/>
      <c r="R200" s="233"/>
      <c r="S200" s="233"/>
    </row>
    <row r="201" spans="1:19">
      <c r="A201" s="235"/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  <c r="O201" s="241"/>
      <c r="P201" s="241"/>
      <c r="Q201" s="242"/>
      <c r="R201" s="233"/>
      <c r="S201" s="233"/>
    </row>
    <row r="202" spans="1:19">
      <c r="A202" s="235"/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  <c r="O202" s="241"/>
      <c r="P202" s="241"/>
      <c r="Q202" s="242"/>
      <c r="R202" s="233"/>
      <c r="S202" s="233"/>
    </row>
    <row r="203" spans="1:19">
      <c r="A203" s="235"/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  <c r="O203" s="241"/>
      <c r="P203" s="241"/>
      <c r="Q203" s="242"/>
      <c r="R203" s="233"/>
      <c r="S203" s="233"/>
    </row>
    <row r="204" spans="1:19">
      <c r="A204" s="235"/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  <c r="O204" s="241"/>
      <c r="P204" s="241"/>
      <c r="Q204" s="242"/>
      <c r="R204" s="233"/>
      <c r="S204" s="233"/>
    </row>
    <row r="205" spans="1:19">
      <c r="A205" s="235"/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  <c r="O205" s="241"/>
      <c r="P205" s="241"/>
      <c r="Q205" s="242"/>
      <c r="R205" s="233"/>
      <c r="S205" s="233"/>
    </row>
    <row r="206" spans="1:19">
      <c r="A206" s="235"/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  <c r="O206" s="241"/>
      <c r="P206" s="241"/>
      <c r="Q206" s="242"/>
      <c r="R206" s="233"/>
      <c r="S206" s="233"/>
    </row>
    <row r="207" spans="1:19">
      <c r="A207" s="235"/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  <c r="O207" s="241"/>
      <c r="P207" s="241"/>
      <c r="Q207" s="242"/>
      <c r="R207" s="233"/>
      <c r="S207" s="233"/>
    </row>
    <row r="208" spans="1:19">
      <c r="A208" s="235"/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  <c r="O208" s="241"/>
      <c r="P208" s="241"/>
      <c r="Q208" s="242"/>
      <c r="R208" s="233"/>
      <c r="S208" s="233"/>
    </row>
    <row r="209" spans="1:19">
      <c r="A209" s="235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  <c r="O209" s="241"/>
      <c r="P209" s="241"/>
      <c r="Q209" s="242"/>
      <c r="R209" s="233"/>
      <c r="S209" s="233"/>
    </row>
    <row r="210" spans="1:19">
      <c r="A210" s="235"/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  <c r="O210" s="241"/>
      <c r="P210" s="241"/>
      <c r="Q210" s="242"/>
      <c r="R210" s="233"/>
      <c r="S210" s="233"/>
    </row>
    <row r="211" spans="1:19">
      <c r="A211" s="235"/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  <c r="O211" s="241"/>
      <c r="P211" s="241"/>
      <c r="Q211" s="242"/>
      <c r="R211" s="233"/>
      <c r="S211" s="233"/>
    </row>
    <row r="212" spans="1:19">
      <c r="A212" s="235"/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  <c r="O212" s="241"/>
      <c r="P212" s="241"/>
      <c r="Q212" s="242"/>
      <c r="R212" s="233"/>
      <c r="S212" s="233"/>
    </row>
    <row r="213" spans="1:19">
      <c r="A213" s="235"/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  <c r="O213" s="241"/>
      <c r="P213" s="241"/>
      <c r="Q213" s="242"/>
      <c r="R213" s="233"/>
      <c r="S213" s="233"/>
    </row>
    <row r="214" spans="1:19">
      <c r="A214" s="235"/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  <c r="O214" s="241"/>
      <c r="P214" s="241"/>
      <c r="Q214" s="242"/>
      <c r="R214" s="233"/>
      <c r="S214" s="233"/>
    </row>
    <row r="215" spans="1:19">
      <c r="A215" s="235"/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  <c r="O215" s="241"/>
      <c r="P215" s="241"/>
      <c r="Q215" s="242"/>
      <c r="R215" s="233"/>
      <c r="S215" s="233"/>
    </row>
    <row r="216" spans="1:19">
      <c r="A216" s="235"/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  <c r="O216" s="241"/>
      <c r="P216" s="241"/>
      <c r="Q216" s="242"/>
      <c r="R216" s="233"/>
      <c r="S216" s="233"/>
    </row>
    <row r="217" spans="1:19">
      <c r="A217" s="235"/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  <c r="O217" s="241"/>
      <c r="P217" s="241"/>
      <c r="Q217" s="242"/>
      <c r="R217" s="233"/>
      <c r="S217" s="233"/>
    </row>
    <row r="218" spans="1:19">
      <c r="A218" s="235"/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  <c r="O218" s="241"/>
      <c r="P218" s="241"/>
      <c r="Q218" s="242"/>
      <c r="R218" s="233"/>
      <c r="S218" s="233"/>
    </row>
    <row r="219" spans="1:19">
      <c r="A219" s="235"/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  <c r="O219" s="241"/>
      <c r="P219" s="241"/>
      <c r="Q219" s="242"/>
      <c r="R219" s="233"/>
      <c r="S219" s="233"/>
    </row>
    <row r="220" spans="1:19">
      <c r="A220" s="235"/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  <c r="O220" s="241"/>
      <c r="P220" s="241"/>
      <c r="Q220" s="242"/>
      <c r="R220" s="233"/>
      <c r="S220" s="233"/>
    </row>
    <row r="221" spans="1:19">
      <c r="A221" s="235"/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  <c r="O221" s="241"/>
      <c r="P221" s="241"/>
      <c r="Q221" s="242"/>
      <c r="R221" s="233"/>
      <c r="S221" s="233"/>
    </row>
    <row r="222" spans="1:19">
      <c r="A222" s="235"/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  <c r="O222" s="241"/>
      <c r="P222" s="241"/>
      <c r="Q222" s="242"/>
      <c r="R222" s="233"/>
      <c r="S222" s="233"/>
    </row>
    <row r="223" spans="1:19">
      <c r="A223" s="235"/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  <c r="O223" s="241"/>
      <c r="P223" s="241"/>
      <c r="Q223" s="242"/>
      <c r="R223" s="233"/>
      <c r="S223" s="233"/>
    </row>
    <row r="224" spans="1:19">
      <c r="A224" s="235"/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  <c r="O224" s="241"/>
      <c r="P224" s="241"/>
      <c r="Q224" s="242"/>
      <c r="R224" s="233"/>
      <c r="S224" s="233"/>
    </row>
    <row r="225" spans="1:19">
      <c r="A225" s="235"/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  <c r="O225" s="241"/>
      <c r="P225" s="241"/>
      <c r="Q225" s="242"/>
      <c r="R225" s="233"/>
      <c r="S225" s="233"/>
    </row>
    <row r="226" spans="1:19">
      <c r="A226" s="235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  <c r="O226" s="241"/>
      <c r="P226" s="241"/>
      <c r="Q226" s="242"/>
      <c r="R226" s="233"/>
      <c r="S226" s="233"/>
    </row>
    <row r="227" spans="1:19">
      <c r="A227" s="235"/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  <c r="O227" s="241"/>
      <c r="P227" s="241"/>
      <c r="Q227" s="242"/>
      <c r="R227" s="233"/>
      <c r="S227" s="233"/>
    </row>
    <row r="228" spans="1:19">
      <c r="A228" s="235"/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  <c r="O228" s="241"/>
      <c r="P228" s="241"/>
      <c r="Q228" s="242"/>
      <c r="R228" s="233"/>
      <c r="S228" s="233"/>
    </row>
    <row r="229" spans="1:19">
      <c r="A229" s="235"/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  <c r="O229" s="241"/>
      <c r="P229" s="241"/>
      <c r="Q229" s="242"/>
      <c r="R229" s="233"/>
      <c r="S229" s="233"/>
    </row>
    <row r="230" spans="1:19">
      <c r="A230" s="235"/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  <c r="O230" s="241"/>
      <c r="P230" s="241"/>
      <c r="Q230" s="242"/>
      <c r="R230" s="233"/>
      <c r="S230" s="233"/>
    </row>
    <row r="231" spans="1:19">
      <c r="A231" s="235"/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  <c r="O231" s="241"/>
      <c r="P231" s="241"/>
      <c r="Q231" s="242"/>
      <c r="R231" s="233"/>
      <c r="S231" s="233"/>
    </row>
    <row r="232" spans="1:19">
      <c r="A232" s="235"/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  <c r="O232" s="241"/>
      <c r="P232" s="241"/>
      <c r="Q232" s="242"/>
      <c r="R232" s="233"/>
      <c r="S232" s="233"/>
    </row>
    <row r="233" spans="1:19">
      <c r="A233" s="235"/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  <c r="O233" s="241"/>
      <c r="P233" s="241"/>
      <c r="Q233" s="242"/>
      <c r="R233" s="233"/>
      <c r="S233" s="233"/>
    </row>
    <row r="234" spans="1:19">
      <c r="A234" s="235"/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2"/>
      <c r="R234" s="233"/>
      <c r="S234" s="233"/>
    </row>
    <row r="235" spans="1:19">
      <c r="A235" s="235"/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  <c r="O235" s="241"/>
      <c r="P235" s="241"/>
      <c r="Q235" s="242"/>
      <c r="R235" s="233"/>
      <c r="S235" s="233"/>
    </row>
    <row r="236" spans="1:19">
      <c r="A236" s="235"/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  <c r="O236" s="241"/>
      <c r="P236" s="241"/>
      <c r="Q236" s="242"/>
      <c r="R236" s="233"/>
      <c r="S236" s="233"/>
    </row>
    <row r="237" spans="1:19">
      <c r="A237" s="235"/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  <c r="O237" s="241"/>
      <c r="P237" s="241"/>
      <c r="Q237" s="242"/>
      <c r="R237" s="233"/>
      <c r="S237" s="233"/>
    </row>
    <row r="238" spans="1:19">
      <c r="A238" s="235"/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  <c r="O238" s="241"/>
      <c r="P238" s="241"/>
      <c r="Q238" s="242"/>
      <c r="R238" s="233"/>
      <c r="S238" s="233"/>
    </row>
    <row r="239" spans="1:19">
      <c r="A239" s="235"/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  <c r="O239" s="241"/>
      <c r="P239" s="241"/>
      <c r="Q239" s="242"/>
      <c r="R239" s="233"/>
      <c r="S239" s="233"/>
    </row>
    <row r="240" spans="1:19">
      <c r="A240" s="235"/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  <c r="O240" s="241"/>
      <c r="P240" s="241"/>
      <c r="Q240" s="242"/>
      <c r="R240" s="233"/>
      <c r="S240" s="233"/>
    </row>
    <row r="241" spans="1:19">
      <c r="A241" s="235"/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  <c r="O241" s="241"/>
      <c r="P241" s="241"/>
      <c r="Q241" s="242"/>
      <c r="R241" s="233"/>
      <c r="S241" s="233"/>
    </row>
    <row r="242" spans="1:19">
      <c r="A242" s="235"/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  <c r="O242" s="241"/>
      <c r="P242" s="241"/>
      <c r="Q242" s="242"/>
      <c r="R242" s="233"/>
      <c r="S242" s="233"/>
    </row>
    <row r="243" spans="1:19">
      <c r="A243" s="235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  <c r="O243" s="241"/>
      <c r="P243" s="241"/>
      <c r="Q243" s="242"/>
      <c r="R243" s="233"/>
      <c r="S243" s="233"/>
    </row>
    <row r="244" spans="1:19">
      <c r="A244" s="235"/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  <c r="O244" s="241"/>
      <c r="P244" s="241"/>
      <c r="Q244" s="242"/>
      <c r="R244" s="233"/>
      <c r="S244" s="233"/>
    </row>
    <row r="245" spans="1:19">
      <c r="A245" s="235"/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  <c r="O245" s="241"/>
      <c r="P245" s="241"/>
      <c r="Q245" s="242"/>
      <c r="R245" s="233"/>
      <c r="S245" s="233"/>
    </row>
    <row r="246" spans="1:19">
      <c r="A246" s="235"/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  <c r="O246" s="241"/>
      <c r="P246" s="241"/>
      <c r="Q246" s="242"/>
      <c r="R246" s="233"/>
      <c r="S246" s="233"/>
    </row>
    <row r="247" spans="1:19">
      <c r="A247" s="235"/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  <c r="O247" s="241"/>
      <c r="P247" s="241"/>
      <c r="Q247" s="242"/>
      <c r="R247" s="233"/>
      <c r="S247" s="233"/>
    </row>
    <row r="248" spans="1:19">
      <c r="A248" s="235"/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  <c r="O248" s="241"/>
      <c r="P248" s="241"/>
      <c r="Q248" s="242"/>
      <c r="R248" s="233"/>
      <c r="S248" s="233"/>
    </row>
    <row r="249" spans="1:19">
      <c r="A249" s="235"/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  <c r="O249" s="241"/>
      <c r="P249" s="241"/>
      <c r="Q249" s="242"/>
      <c r="R249" s="233"/>
      <c r="S249" s="233"/>
    </row>
    <row r="250" spans="1:19">
      <c r="A250" s="235"/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  <c r="O250" s="241"/>
      <c r="P250" s="241"/>
      <c r="Q250" s="242"/>
      <c r="R250" s="233"/>
      <c r="S250" s="233"/>
    </row>
    <row r="251" spans="1:19">
      <c r="A251" s="235"/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  <c r="O251" s="241"/>
      <c r="P251" s="241"/>
      <c r="Q251" s="242"/>
      <c r="R251" s="233"/>
      <c r="S251" s="233"/>
    </row>
    <row r="252" spans="1:19">
      <c r="A252" s="235"/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  <c r="O252" s="241"/>
      <c r="P252" s="241"/>
      <c r="Q252" s="242"/>
      <c r="R252" s="233"/>
      <c r="S252" s="233"/>
    </row>
    <row r="253" spans="1:19">
      <c r="A253" s="235"/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  <c r="O253" s="241"/>
      <c r="P253" s="241"/>
      <c r="Q253" s="242"/>
      <c r="R253" s="233"/>
      <c r="S253" s="233"/>
    </row>
    <row r="254" spans="1:19">
      <c r="A254" s="235"/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  <c r="O254" s="241"/>
      <c r="P254" s="241"/>
      <c r="Q254" s="242"/>
      <c r="R254" s="233"/>
      <c r="S254" s="233"/>
    </row>
    <row r="255" spans="1:19">
      <c r="A255" s="235"/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  <c r="O255" s="241"/>
      <c r="P255" s="241"/>
      <c r="Q255" s="242"/>
      <c r="R255" s="233"/>
      <c r="S255" s="233"/>
    </row>
    <row r="256" spans="1:19">
      <c r="A256" s="235"/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  <c r="O256" s="241"/>
      <c r="P256" s="241"/>
      <c r="Q256" s="242"/>
      <c r="R256" s="233"/>
      <c r="S256" s="233"/>
    </row>
    <row r="257" spans="1:19">
      <c r="A257" s="235"/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  <c r="O257" s="241"/>
      <c r="P257" s="241"/>
      <c r="Q257" s="242"/>
      <c r="R257" s="233"/>
      <c r="S257" s="233"/>
    </row>
    <row r="258" spans="1:19">
      <c r="A258" s="235"/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  <c r="O258" s="241"/>
      <c r="P258" s="241"/>
      <c r="Q258" s="242"/>
      <c r="R258" s="233"/>
      <c r="S258" s="233"/>
    </row>
    <row r="259" spans="1:19">
      <c r="A259" s="235"/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  <c r="O259" s="241"/>
      <c r="P259" s="241"/>
      <c r="Q259" s="242"/>
      <c r="R259" s="233"/>
      <c r="S259" s="233"/>
    </row>
    <row r="260" spans="1:19">
      <c r="A260" s="235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  <c r="O260" s="241"/>
      <c r="P260" s="241"/>
      <c r="Q260" s="242"/>
      <c r="R260" s="233"/>
      <c r="S260" s="233"/>
    </row>
    <row r="261" spans="1:19">
      <c r="A261" s="235"/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  <c r="O261" s="241"/>
      <c r="P261" s="241"/>
      <c r="Q261" s="242"/>
      <c r="R261" s="233"/>
      <c r="S261" s="233"/>
    </row>
    <row r="262" spans="1:19">
      <c r="A262" s="235"/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  <c r="O262" s="241"/>
      <c r="P262" s="241"/>
      <c r="Q262" s="242"/>
      <c r="R262" s="233"/>
      <c r="S262" s="233"/>
    </row>
    <row r="263" spans="1:19">
      <c r="A263" s="235"/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  <c r="O263" s="241"/>
      <c r="P263" s="241"/>
      <c r="Q263" s="242"/>
      <c r="R263" s="233"/>
      <c r="S263" s="233"/>
    </row>
    <row r="264" spans="1:19">
      <c r="A264" s="235"/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  <c r="O264" s="241"/>
      <c r="P264" s="241"/>
      <c r="Q264" s="242"/>
      <c r="R264" s="233"/>
      <c r="S264" s="233"/>
    </row>
    <row r="265" spans="1:19">
      <c r="A265" s="235"/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  <c r="O265" s="241"/>
      <c r="P265" s="241"/>
      <c r="Q265" s="242"/>
      <c r="R265" s="233"/>
      <c r="S265" s="233"/>
    </row>
    <row r="266" spans="1:19">
      <c r="A266" s="235"/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  <c r="O266" s="241"/>
      <c r="P266" s="241"/>
      <c r="Q266" s="242"/>
      <c r="R266" s="233"/>
      <c r="S266" s="233"/>
    </row>
    <row r="267" spans="1:19">
      <c r="A267" s="235"/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  <c r="O267" s="241"/>
      <c r="P267" s="241"/>
      <c r="Q267" s="242"/>
      <c r="R267" s="233"/>
      <c r="S267" s="233"/>
    </row>
    <row r="268" spans="1:19">
      <c r="A268" s="235"/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  <c r="O268" s="241"/>
      <c r="P268" s="241"/>
      <c r="Q268" s="242"/>
      <c r="R268" s="233"/>
      <c r="S268" s="233"/>
    </row>
    <row r="269" spans="1:19">
      <c r="A269" s="235"/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  <c r="O269" s="241"/>
      <c r="P269" s="241"/>
      <c r="Q269" s="242"/>
      <c r="R269" s="233"/>
      <c r="S269" s="233"/>
    </row>
    <row r="270" spans="1:19">
      <c r="A270" s="235"/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  <c r="O270" s="241"/>
      <c r="P270" s="241"/>
      <c r="Q270" s="242"/>
      <c r="R270" s="233"/>
      <c r="S270" s="233"/>
    </row>
    <row r="271" spans="1:19">
      <c r="A271" s="235"/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  <c r="O271" s="241"/>
      <c r="P271" s="241"/>
      <c r="Q271" s="242"/>
      <c r="R271" s="233"/>
      <c r="S271" s="233"/>
    </row>
    <row r="272" spans="1:19">
      <c r="A272" s="235"/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  <c r="O272" s="241"/>
      <c r="P272" s="241"/>
      <c r="Q272" s="242"/>
      <c r="R272" s="233"/>
      <c r="S272" s="233"/>
    </row>
    <row r="273" spans="1:19">
      <c r="A273" s="235"/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  <c r="O273" s="241"/>
      <c r="P273" s="241"/>
      <c r="Q273" s="242"/>
      <c r="R273" s="233"/>
      <c r="S273" s="233"/>
    </row>
    <row r="274" spans="1:19">
      <c r="A274" s="235"/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  <c r="O274" s="241"/>
      <c r="P274" s="241"/>
      <c r="Q274" s="242"/>
      <c r="R274" s="233"/>
      <c r="S274" s="233"/>
    </row>
    <row r="275" spans="1:19">
      <c r="A275" s="235"/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  <c r="O275" s="241"/>
      <c r="P275" s="241"/>
      <c r="Q275" s="242"/>
      <c r="R275" s="233"/>
      <c r="S275" s="233"/>
    </row>
    <row r="276" spans="1:19">
      <c r="A276" s="235"/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  <c r="O276" s="241"/>
      <c r="P276" s="241"/>
      <c r="Q276" s="242"/>
      <c r="R276" s="233"/>
      <c r="S276" s="233"/>
    </row>
    <row r="277" spans="1:19">
      <c r="A277" s="235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  <c r="O277" s="241"/>
      <c r="P277" s="241"/>
      <c r="Q277" s="242"/>
      <c r="R277" s="233"/>
      <c r="S277" s="233"/>
    </row>
    <row r="278" spans="1:19">
      <c r="A278" s="235"/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  <c r="O278" s="241"/>
      <c r="P278" s="241"/>
      <c r="Q278" s="242"/>
      <c r="R278" s="233"/>
      <c r="S278" s="233"/>
    </row>
    <row r="279" spans="1:19">
      <c r="A279" s="235"/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  <c r="O279" s="241"/>
      <c r="P279" s="241"/>
      <c r="Q279" s="242"/>
      <c r="R279" s="233"/>
      <c r="S279" s="233"/>
    </row>
    <row r="280" spans="1:19">
      <c r="A280" s="235"/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  <c r="O280" s="241"/>
      <c r="P280" s="241"/>
      <c r="Q280" s="242"/>
      <c r="R280" s="233"/>
      <c r="S280" s="233"/>
    </row>
    <row r="281" spans="1:19">
      <c r="A281" s="235"/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  <c r="O281" s="241"/>
      <c r="P281" s="241"/>
      <c r="Q281" s="242"/>
      <c r="R281" s="233"/>
      <c r="S281" s="233"/>
    </row>
    <row r="282" spans="1:19">
      <c r="A282" s="235"/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  <c r="O282" s="241"/>
      <c r="P282" s="241"/>
      <c r="Q282" s="242"/>
      <c r="R282" s="233"/>
      <c r="S282" s="233"/>
    </row>
    <row r="283" spans="1:19">
      <c r="A283" s="235"/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  <c r="O283" s="241"/>
      <c r="P283" s="241"/>
      <c r="Q283" s="242"/>
      <c r="R283" s="233"/>
      <c r="S283" s="233"/>
    </row>
    <row r="284" spans="1:19">
      <c r="A284" s="235"/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  <c r="O284" s="241"/>
      <c r="P284" s="241"/>
      <c r="Q284" s="242"/>
      <c r="R284" s="233"/>
      <c r="S284" s="233"/>
    </row>
    <row r="285" spans="1:19">
      <c r="A285" s="235"/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  <c r="O285" s="241"/>
      <c r="P285" s="241"/>
      <c r="Q285" s="242"/>
      <c r="R285" s="233"/>
      <c r="S285" s="233"/>
    </row>
    <row r="286" spans="1:19">
      <c r="A286" s="235"/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  <c r="O286" s="241"/>
      <c r="P286" s="241"/>
      <c r="Q286" s="242"/>
      <c r="R286" s="233"/>
      <c r="S286" s="233"/>
    </row>
    <row r="287" spans="1:19">
      <c r="A287" s="235"/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  <c r="O287" s="241"/>
      <c r="P287" s="241"/>
      <c r="Q287" s="242"/>
      <c r="R287" s="233"/>
      <c r="S287" s="233"/>
    </row>
    <row r="288" spans="1:19">
      <c r="A288" s="235"/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  <c r="O288" s="241"/>
      <c r="P288" s="241"/>
      <c r="Q288" s="242"/>
      <c r="R288" s="233"/>
      <c r="S288" s="233"/>
    </row>
    <row r="289" spans="1:19">
      <c r="A289" s="235"/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  <c r="O289" s="241"/>
      <c r="P289" s="241"/>
      <c r="Q289" s="242"/>
      <c r="R289" s="233"/>
      <c r="S289" s="233"/>
    </row>
    <row r="290" spans="1:19">
      <c r="A290" s="235"/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  <c r="O290" s="241"/>
      <c r="P290" s="241"/>
      <c r="Q290" s="242"/>
      <c r="R290" s="233"/>
      <c r="S290" s="233"/>
    </row>
    <row r="291" spans="1:19">
      <c r="A291" s="235"/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  <c r="O291" s="241"/>
      <c r="P291" s="241"/>
      <c r="Q291" s="242"/>
      <c r="R291" s="233"/>
      <c r="S291" s="233"/>
    </row>
    <row r="292" spans="1:19">
      <c r="A292" s="235"/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  <c r="O292" s="241"/>
      <c r="P292" s="241"/>
      <c r="Q292" s="242"/>
      <c r="R292" s="233"/>
      <c r="S292" s="233"/>
    </row>
    <row r="293" spans="1:19">
      <c r="A293" s="235"/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  <c r="O293" s="241"/>
      <c r="P293" s="241"/>
      <c r="Q293" s="242"/>
      <c r="R293" s="233"/>
      <c r="S293" s="233"/>
    </row>
    <row r="294" spans="1:19">
      <c r="A294" s="235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  <c r="O294" s="241"/>
      <c r="P294" s="241"/>
      <c r="Q294" s="242"/>
      <c r="R294" s="233"/>
      <c r="S294" s="233"/>
    </row>
    <row r="295" spans="1:19">
      <c r="A295" s="235"/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  <c r="O295" s="241"/>
      <c r="P295" s="241"/>
      <c r="Q295" s="242"/>
      <c r="R295" s="233"/>
      <c r="S295" s="233"/>
    </row>
    <row r="296" spans="1:19">
      <c r="A296" s="235"/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  <c r="O296" s="241"/>
      <c r="P296" s="241"/>
      <c r="Q296" s="242"/>
      <c r="R296" s="233"/>
      <c r="S296" s="233"/>
    </row>
    <row r="297" spans="1:19">
      <c r="A297" s="235"/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  <c r="O297" s="241"/>
      <c r="P297" s="241"/>
      <c r="Q297" s="242"/>
      <c r="R297" s="233"/>
      <c r="S297" s="233"/>
    </row>
    <row r="298" spans="1:19">
      <c r="A298" s="235"/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  <c r="O298" s="241"/>
      <c r="P298" s="241"/>
      <c r="Q298" s="242"/>
      <c r="R298" s="233"/>
      <c r="S298" s="233"/>
    </row>
    <row r="299" spans="1:19">
      <c r="A299" s="235"/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  <c r="O299" s="241"/>
      <c r="P299" s="241"/>
      <c r="Q299" s="242"/>
      <c r="R299" s="233"/>
      <c r="S299" s="233"/>
    </row>
    <row r="300" spans="1:19">
      <c r="A300" s="235"/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  <c r="O300" s="241"/>
      <c r="P300" s="241"/>
      <c r="Q300" s="242"/>
      <c r="R300" s="233"/>
      <c r="S300" s="233"/>
    </row>
    <row r="301" spans="1:19" ht="16" thickBot="1">
      <c r="A301" s="235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4"/>
      <c r="R301" s="233"/>
      <c r="S301" s="233"/>
    </row>
    <row r="302" spans="1:19">
      <c r="A302" s="233"/>
      <c r="B302" s="245"/>
      <c r="C302" s="245"/>
      <c r="D302" s="245"/>
      <c r="E302" s="245"/>
      <c r="F302" s="245"/>
      <c r="G302" s="245"/>
      <c r="H302" s="245"/>
      <c r="I302" s="245"/>
      <c r="J302" s="245"/>
      <c r="K302" s="245"/>
      <c r="L302" s="245"/>
      <c r="M302" s="245"/>
      <c r="N302" s="245"/>
      <c r="O302" s="245"/>
      <c r="P302" s="245"/>
      <c r="Q302" s="245"/>
      <c r="R302" s="233"/>
      <c r="S302" s="233"/>
    </row>
    <row r="303" spans="1:19">
      <c r="A303" s="233"/>
      <c r="B303" s="245"/>
      <c r="C303" s="245"/>
      <c r="D303" s="245"/>
      <c r="E303" s="245"/>
      <c r="F303" s="245"/>
      <c r="G303" s="245"/>
      <c r="H303" s="245"/>
      <c r="I303" s="245"/>
      <c r="J303" s="245"/>
      <c r="K303" s="245"/>
      <c r="L303" s="245"/>
      <c r="M303" s="245"/>
      <c r="N303" s="245"/>
      <c r="O303" s="245"/>
      <c r="P303" s="245"/>
      <c r="Q303" s="245"/>
      <c r="R303" s="233"/>
      <c r="S303" s="233"/>
    </row>
    <row r="304" spans="1:19">
      <c r="A304" s="233"/>
      <c r="B304" s="245"/>
      <c r="C304" s="245"/>
      <c r="D304" s="245"/>
      <c r="E304" s="245"/>
      <c r="F304" s="245"/>
      <c r="G304" s="245"/>
      <c r="H304" s="245"/>
      <c r="I304" s="245"/>
      <c r="J304" s="245"/>
      <c r="K304" s="245"/>
      <c r="L304" s="245"/>
      <c r="M304" s="245"/>
      <c r="N304" s="245"/>
      <c r="O304" s="245"/>
      <c r="P304" s="245"/>
      <c r="Q304" s="245"/>
      <c r="R304" s="233"/>
      <c r="S304" s="233"/>
    </row>
    <row r="305" spans="1:19">
      <c r="A305" s="233"/>
      <c r="B305" s="245"/>
      <c r="C305" s="245"/>
      <c r="D305" s="245"/>
      <c r="E305" s="245"/>
      <c r="F305" s="245"/>
      <c r="G305" s="245"/>
      <c r="H305" s="245"/>
      <c r="I305" s="245"/>
      <c r="J305" s="245"/>
      <c r="K305" s="245"/>
      <c r="L305" s="245"/>
      <c r="M305" s="245"/>
      <c r="N305" s="245"/>
      <c r="O305" s="245"/>
      <c r="P305" s="245"/>
      <c r="Q305" s="245"/>
      <c r="R305" s="233"/>
      <c r="S305" s="233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>
    <tabColor theme="6" tint="0.59999389629810485"/>
  </sheetPr>
  <dimension ref="A1:S305"/>
  <sheetViews>
    <sheetView zoomScale="55" zoomScaleNormal="55" workbookViewId="0">
      <selection activeCell="A3" sqref="A3"/>
    </sheetView>
  </sheetViews>
  <sheetFormatPr defaultRowHeight="15.5"/>
  <cols>
    <col min="1" max="1" width="16.81640625" style="255" bestFit="1" customWidth="1"/>
    <col min="2" max="2" width="9.81640625" style="246" bestFit="1" customWidth="1"/>
    <col min="3" max="12" width="8.7265625" style="246"/>
    <col min="13" max="13" width="7.7265625" style="246" customWidth="1"/>
    <col min="14" max="17" width="8.7265625" style="246"/>
    <col min="18" max="16384" width="8.7265625" style="232"/>
  </cols>
  <sheetData>
    <row r="1" spans="1:19" ht="30" customHeight="1" thickBot="1">
      <c r="A1" s="251" t="s">
        <v>248</v>
      </c>
      <c r="B1" s="236"/>
      <c r="C1" s="236"/>
      <c r="D1" s="236"/>
      <c r="E1" s="236"/>
      <c r="F1" s="236"/>
      <c r="G1" s="236"/>
      <c r="H1" s="237"/>
      <c r="I1" s="237"/>
      <c r="J1" s="237"/>
      <c r="K1" s="237"/>
      <c r="L1" s="237"/>
      <c r="M1" s="237"/>
      <c r="N1" s="237"/>
      <c r="O1" s="237"/>
      <c r="P1" s="237"/>
      <c r="Q1" s="238"/>
      <c r="R1" s="233"/>
      <c r="S1" s="233"/>
    </row>
    <row r="2" spans="1:19" ht="17">
      <c r="A2" s="252" t="s">
        <v>198</v>
      </c>
      <c r="B2" s="239" t="s">
        <v>207</v>
      </c>
      <c r="C2" s="239" t="s">
        <v>208</v>
      </c>
      <c r="D2" s="239" t="s">
        <v>209</v>
      </c>
      <c r="E2" s="239" t="s">
        <v>210</v>
      </c>
      <c r="F2" s="239" t="s">
        <v>211</v>
      </c>
      <c r="G2" s="239" t="s">
        <v>212</v>
      </c>
      <c r="H2" s="239" t="s">
        <v>213</v>
      </c>
      <c r="I2" s="239" t="s">
        <v>214</v>
      </c>
      <c r="J2" s="239" t="s">
        <v>215</v>
      </c>
      <c r="K2" s="239" t="s">
        <v>216</v>
      </c>
      <c r="L2" s="239" t="s">
        <v>217</v>
      </c>
      <c r="M2" s="239" t="s">
        <v>218</v>
      </c>
      <c r="N2" s="239" t="s">
        <v>219</v>
      </c>
      <c r="O2" s="239" t="s">
        <v>220</v>
      </c>
      <c r="P2" s="239" t="s">
        <v>221</v>
      </c>
      <c r="Q2" s="240" t="s">
        <v>222</v>
      </c>
      <c r="R2" s="233"/>
      <c r="S2" s="233"/>
    </row>
    <row r="3" spans="1:19">
      <c r="A3" s="66"/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2"/>
      <c r="R3" s="233"/>
      <c r="S3" s="233"/>
    </row>
    <row r="4" spans="1:19">
      <c r="A4" s="72"/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2"/>
      <c r="R4" s="233"/>
      <c r="S4" s="233"/>
    </row>
    <row r="5" spans="1:19">
      <c r="A5" s="66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2"/>
      <c r="R5" s="233"/>
      <c r="S5" s="233"/>
    </row>
    <row r="6" spans="1:19">
      <c r="A6" s="253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2"/>
      <c r="R6" s="233"/>
      <c r="S6" s="233"/>
    </row>
    <row r="7" spans="1:19">
      <c r="A7" s="253"/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2"/>
      <c r="R7" s="233"/>
      <c r="S7" s="233"/>
    </row>
    <row r="8" spans="1:19">
      <c r="A8" s="253"/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2"/>
      <c r="R8" s="233"/>
      <c r="S8" s="233"/>
    </row>
    <row r="9" spans="1:19">
      <c r="A9" s="253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2"/>
      <c r="R9" s="233"/>
      <c r="S9" s="233"/>
    </row>
    <row r="10" spans="1:19">
      <c r="A10" s="253"/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2"/>
      <c r="R10" s="233"/>
      <c r="S10" s="233"/>
    </row>
    <row r="11" spans="1:19">
      <c r="A11" s="253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2"/>
      <c r="R11" s="233"/>
      <c r="S11" s="233"/>
    </row>
    <row r="12" spans="1:19">
      <c r="A12" s="253"/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  <c r="O12" s="241"/>
      <c r="P12" s="241"/>
      <c r="Q12" s="242"/>
      <c r="R12" s="233"/>
      <c r="S12" s="233"/>
    </row>
    <row r="13" spans="1:19">
      <c r="A13" s="253"/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2"/>
      <c r="R13" s="233"/>
      <c r="S13" s="233"/>
    </row>
    <row r="14" spans="1:19">
      <c r="A14" s="253"/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  <c r="O14" s="241"/>
      <c r="P14" s="241"/>
      <c r="Q14" s="242"/>
      <c r="R14" s="233"/>
      <c r="S14" s="233"/>
    </row>
    <row r="15" spans="1:19">
      <c r="A15" s="253"/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2"/>
      <c r="R15" s="233"/>
      <c r="S15" s="233"/>
    </row>
    <row r="16" spans="1:19">
      <c r="A16" s="253"/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2"/>
      <c r="R16" s="233"/>
      <c r="S16" s="233"/>
    </row>
    <row r="17" spans="1:19">
      <c r="A17" s="253"/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2"/>
      <c r="R17" s="233"/>
      <c r="S17" s="233"/>
    </row>
    <row r="18" spans="1:19">
      <c r="A18" s="253"/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2"/>
      <c r="R18" s="233"/>
      <c r="S18" s="233"/>
    </row>
    <row r="19" spans="1:19">
      <c r="A19" s="253"/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2"/>
      <c r="R19" s="233"/>
      <c r="S19" s="233"/>
    </row>
    <row r="20" spans="1:19">
      <c r="A20" s="253"/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2"/>
      <c r="R20" s="233"/>
      <c r="S20" s="233"/>
    </row>
    <row r="21" spans="1:19">
      <c r="A21" s="253"/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2"/>
      <c r="R21" s="233"/>
      <c r="S21" s="233"/>
    </row>
    <row r="22" spans="1:19">
      <c r="A22" s="253"/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2"/>
      <c r="R22" s="233"/>
      <c r="S22" s="233"/>
    </row>
    <row r="23" spans="1:19">
      <c r="A23" s="253"/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2"/>
      <c r="R23" s="233"/>
      <c r="S23" s="233"/>
    </row>
    <row r="24" spans="1:19">
      <c r="A24" s="253"/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  <c r="O24" s="241"/>
      <c r="P24" s="241"/>
      <c r="Q24" s="242"/>
      <c r="R24" s="233"/>
      <c r="S24" s="233"/>
    </row>
    <row r="25" spans="1:19">
      <c r="A25" s="253"/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2"/>
      <c r="R25" s="233"/>
      <c r="S25" s="233"/>
    </row>
    <row r="26" spans="1:19">
      <c r="A26" s="253"/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  <c r="O26" s="241"/>
      <c r="P26" s="241"/>
      <c r="Q26" s="242"/>
      <c r="R26" s="233"/>
      <c r="S26" s="233"/>
    </row>
    <row r="27" spans="1:19">
      <c r="A27" s="253"/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  <c r="O27" s="241"/>
      <c r="P27" s="241"/>
      <c r="Q27" s="242"/>
      <c r="R27" s="233"/>
      <c r="S27" s="233"/>
    </row>
    <row r="28" spans="1:19">
      <c r="A28" s="253"/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  <c r="O28" s="241"/>
      <c r="P28" s="241"/>
      <c r="Q28" s="242"/>
      <c r="R28" s="233"/>
      <c r="S28" s="233"/>
    </row>
    <row r="29" spans="1:19">
      <c r="A29" s="253"/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  <c r="O29" s="241"/>
      <c r="P29" s="241"/>
      <c r="Q29" s="242"/>
      <c r="R29" s="233"/>
      <c r="S29" s="233"/>
    </row>
    <row r="30" spans="1:19">
      <c r="A30" s="253"/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2"/>
      <c r="R30" s="233"/>
      <c r="S30" s="233"/>
    </row>
    <row r="31" spans="1:19">
      <c r="A31" s="253"/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2"/>
      <c r="R31" s="233"/>
      <c r="S31" s="233"/>
    </row>
    <row r="32" spans="1:19">
      <c r="A32" s="253"/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2"/>
      <c r="R32" s="233"/>
      <c r="S32" s="233"/>
    </row>
    <row r="33" spans="1:19">
      <c r="A33" s="253"/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2"/>
      <c r="R33" s="233"/>
      <c r="S33" s="233"/>
    </row>
    <row r="34" spans="1:19">
      <c r="A34" s="253"/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2"/>
      <c r="R34" s="233"/>
      <c r="S34" s="233"/>
    </row>
    <row r="35" spans="1:19">
      <c r="A35" s="253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2"/>
      <c r="R35" s="233"/>
      <c r="S35" s="233"/>
    </row>
    <row r="36" spans="1:19">
      <c r="A36" s="253"/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2"/>
      <c r="R36" s="233"/>
      <c r="S36" s="233"/>
    </row>
    <row r="37" spans="1:19">
      <c r="A37" s="253"/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2"/>
      <c r="R37" s="233"/>
      <c r="S37" s="233"/>
    </row>
    <row r="38" spans="1:19">
      <c r="A38" s="253"/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2"/>
      <c r="R38" s="233"/>
      <c r="S38" s="233"/>
    </row>
    <row r="39" spans="1:19">
      <c r="A39" s="253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1"/>
      <c r="P39" s="241"/>
      <c r="Q39" s="242"/>
      <c r="R39" s="233"/>
      <c r="S39" s="233"/>
    </row>
    <row r="40" spans="1:19">
      <c r="A40" s="253"/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2"/>
      <c r="R40" s="233"/>
      <c r="S40" s="233"/>
    </row>
    <row r="41" spans="1:19">
      <c r="A41" s="253"/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2"/>
      <c r="R41" s="233"/>
      <c r="S41" s="233"/>
    </row>
    <row r="42" spans="1:19">
      <c r="A42" s="253"/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2"/>
      <c r="R42" s="233"/>
      <c r="S42" s="233"/>
    </row>
    <row r="43" spans="1:19">
      <c r="A43" s="253"/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2"/>
      <c r="R43" s="233"/>
      <c r="S43" s="233"/>
    </row>
    <row r="44" spans="1:19">
      <c r="A44" s="253"/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2"/>
      <c r="R44" s="233"/>
      <c r="S44" s="233"/>
    </row>
    <row r="45" spans="1:19">
      <c r="A45" s="253"/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2"/>
      <c r="R45" s="233"/>
      <c r="S45" s="233"/>
    </row>
    <row r="46" spans="1:19">
      <c r="A46" s="253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2"/>
      <c r="R46" s="233"/>
      <c r="S46" s="233"/>
    </row>
    <row r="47" spans="1:19">
      <c r="A47" s="253"/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  <c r="R47" s="233"/>
      <c r="S47" s="233"/>
    </row>
    <row r="48" spans="1:19">
      <c r="A48" s="253"/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2"/>
      <c r="R48" s="233"/>
      <c r="S48" s="233"/>
    </row>
    <row r="49" spans="1:19">
      <c r="A49" s="253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2"/>
      <c r="R49" s="233"/>
      <c r="S49" s="233"/>
    </row>
    <row r="50" spans="1:19">
      <c r="A50" s="253"/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2"/>
      <c r="R50" s="233"/>
      <c r="S50" s="233"/>
    </row>
    <row r="51" spans="1:19">
      <c r="A51" s="253"/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2"/>
      <c r="R51" s="233"/>
      <c r="S51" s="233"/>
    </row>
    <row r="52" spans="1:19">
      <c r="A52" s="253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2"/>
      <c r="R52" s="233"/>
      <c r="S52" s="233"/>
    </row>
    <row r="53" spans="1:19">
      <c r="A53" s="253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2"/>
      <c r="R53" s="233"/>
      <c r="S53" s="233"/>
    </row>
    <row r="54" spans="1:19">
      <c r="A54" s="253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2"/>
      <c r="R54" s="233"/>
      <c r="S54" s="233"/>
    </row>
    <row r="55" spans="1:19">
      <c r="A55" s="253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2"/>
      <c r="R55" s="233"/>
      <c r="S55" s="233"/>
    </row>
    <row r="56" spans="1:19">
      <c r="A56" s="253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2"/>
      <c r="R56" s="233"/>
      <c r="S56" s="233"/>
    </row>
    <row r="57" spans="1:19">
      <c r="A57" s="253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2"/>
      <c r="R57" s="233"/>
      <c r="S57" s="233"/>
    </row>
    <row r="58" spans="1:19">
      <c r="A58" s="253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2"/>
      <c r="R58" s="233"/>
      <c r="S58" s="233"/>
    </row>
    <row r="59" spans="1:19">
      <c r="A59" s="253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2"/>
      <c r="R59" s="233"/>
      <c r="S59" s="233"/>
    </row>
    <row r="60" spans="1:19">
      <c r="A60" s="253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2"/>
      <c r="R60" s="233"/>
      <c r="S60" s="233"/>
    </row>
    <row r="61" spans="1:19">
      <c r="A61" s="253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2"/>
      <c r="R61" s="233"/>
      <c r="S61" s="233"/>
    </row>
    <row r="62" spans="1:19">
      <c r="A62" s="253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2"/>
      <c r="R62" s="233"/>
      <c r="S62" s="233"/>
    </row>
    <row r="63" spans="1:19">
      <c r="A63" s="253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2"/>
      <c r="R63" s="233"/>
      <c r="S63" s="233"/>
    </row>
    <row r="64" spans="1:19">
      <c r="A64" s="253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2"/>
      <c r="R64" s="233"/>
      <c r="S64" s="233"/>
    </row>
    <row r="65" spans="1:19">
      <c r="A65" s="253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2"/>
      <c r="R65" s="233"/>
      <c r="S65" s="233"/>
    </row>
    <row r="66" spans="1:19">
      <c r="A66" s="253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2"/>
      <c r="R66" s="233"/>
      <c r="S66" s="233"/>
    </row>
    <row r="67" spans="1:19">
      <c r="A67" s="253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2"/>
      <c r="R67" s="233"/>
      <c r="S67" s="233"/>
    </row>
    <row r="68" spans="1:19">
      <c r="A68" s="253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2"/>
      <c r="R68" s="233"/>
      <c r="S68" s="233"/>
    </row>
    <row r="69" spans="1:19">
      <c r="A69" s="253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2"/>
      <c r="R69" s="233"/>
      <c r="S69" s="233"/>
    </row>
    <row r="70" spans="1:19">
      <c r="A70" s="253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2"/>
      <c r="R70" s="233"/>
      <c r="S70" s="233"/>
    </row>
    <row r="71" spans="1:19">
      <c r="A71" s="253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2"/>
      <c r="R71" s="233"/>
      <c r="S71" s="233"/>
    </row>
    <row r="72" spans="1:19">
      <c r="A72" s="253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2"/>
      <c r="R72" s="233"/>
      <c r="S72" s="233"/>
    </row>
    <row r="73" spans="1:19">
      <c r="A73" s="253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2"/>
      <c r="R73" s="233"/>
      <c r="S73" s="233"/>
    </row>
    <row r="74" spans="1:19">
      <c r="A74" s="253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2"/>
      <c r="R74" s="233"/>
      <c r="S74" s="233"/>
    </row>
    <row r="75" spans="1:19">
      <c r="A75" s="253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2"/>
      <c r="R75" s="233"/>
      <c r="S75" s="233"/>
    </row>
    <row r="76" spans="1:19">
      <c r="A76" s="253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2"/>
      <c r="R76" s="233"/>
      <c r="S76" s="233"/>
    </row>
    <row r="77" spans="1:19">
      <c r="A77" s="253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2"/>
      <c r="R77" s="233"/>
      <c r="S77" s="233"/>
    </row>
    <row r="78" spans="1:19">
      <c r="A78" s="253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2"/>
      <c r="R78" s="233"/>
      <c r="S78" s="233"/>
    </row>
    <row r="79" spans="1:19">
      <c r="A79" s="253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2"/>
      <c r="R79" s="233"/>
      <c r="S79" s="233"/>
    </row>
    <row r="80" spans="1:19">
      <c r="A80" s="253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2"/>
      <c r="R80" s="233"/>
      <c r="S80" s="233"/>
    </row>
    <row r="81" spans="1:19">
      <c r="A81" s="253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2"/>
      <c r="R81" s="233"/>
      <c r="S81" s="233"/>
    </row>
    <row r="82" spans="1:19">
      <c r="A82" s="253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2"/>
      <c r="R82" s="233"/>
      <c r="S82" s="233"/>
    </row>
    <row r="83" spans="1:19">
      <c r="A83" s="253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2"/>
      <c r="R83" s="233"/>
      <c r="S83" s="233"/>
    </row>
    <row r="84" spans="1:19">
      <c r="A84" s="253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2"/>
      <c r="R84" s="233"/>
      <c r="S84" s="233"/>
    </row>
    <row r="85" spans="1:19">
      <c r="A85" s="253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2"/>
      <c r="R85" s="233"/>
      <c r="S85" s="233"/>
    </row>
    <row r="86" spans="1:19">
      <c r="A86" s="253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2"/>
      <c r="R86" s="233"/>
      <c r="S86" s="233"/>
    </row>
    <row r="87" spans="1:19">
      <c r="A87" s="253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2"/>
      <c r="R87" s="233"/>
      <c r="S87" s="233"/>
    </row>
    <row r="88" spans="1:19">
      <c r="A88" s="253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2"/>
      <c r="R88" s="233"/>
      <c r="S88" s="233"/>
    </row>
    <row r="89" spans="1:19">
      <c r="A89" s="253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2"/>
      <c r="R89" s="233"/>
      <c r="S89" s="233"/>
    </row>
    <row r="90" spans="1:19">
      <c r="A90" s="253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2"/>
      <c r="R90" s="233"/>
      <c r="S90" s="233"/>
    </row>
    <row r="91" spans="1:19">
      <c r="A91" s="253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2"/>
      <c r="R91" s="233"/>
      <c r="S91" s="233"/>
    </row>
    <row r="92" spans="1:19">
      <c r="A92" s="253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2"/>
      <c r="R92" s="233"/>
      <c r="S92" s="233"/>
    </row>
    <row r="93" spans="1:19">
      <c r="A93" s="253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2"/>
      <c r="R93" s="233"/>
      <c r="S93" s="233"/>
    </row>
    <row r="94" spans="1:19">
      <c r="A94" s="253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2"/>
      <c r="R94" s="233"/>
      <c r="S94" s="233"/>
    </row>
    <row r="95" spans="1:19">
      <c r="A95" s="253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2"/>
      <c r="R95" s="233"/>
      <c r="S95" s="233"/>
    </row>
    <row r="96" spans="1:19">
      <c r="A96" s="253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2"/>
      <c r="R96" s="233"/>
      <c r="S96" s="233"/>
    </row>
    <row r="97" spans="1:19">
      <c r="A97" s="253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2"/>
      <c r="R97" s="233"/>
      <c r="S97" s="233"/>
    </row>
    <row r="98" spans="1:19">
      <c r="A98" s="253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2"/>
      <c r="R98" s="233"/>
      <c r="S98" s="233"/>
    </row>
    <row r="99" spans="1:19">
      <c r="A99" s="253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2"/>
      <c r="R99" s="233"/>
      <c r="S99" s="233"/>
    </row>
    <row r="100" spans="1:19">
      <c r="A100" s="253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2"/>
      <c r="R100" s="233"/>
      <c r="S100" s="233"/>
    </row>
    <row r="101" spans="1:19">
      <c r="A101" s="253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2"/>
      <c r="R101" s="233"/>
      <c r="S101" s="233"/>
    </row>
    <row r="102" spans="1:19">
      <c r="A102" s="253"/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  <c r="O102" s="241"/>
      <c r="P102" s="241"/>
      <c r="Q102" s="242"/>
      <c r="R102" s="233"/>
      <c r="S102" s="233"/>
    </row>
    <row r="103" spans="1:19">
      <c r="A103" s="253"/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  <c r="O103" s="241"/>
      <c r="P103" s="241"/>
      <c r="Q103" s="242"/>
      <c r="R103" s="233"/>
      <c r="S103" s="233"/>
    </row>
    <row r="104" spans="1:19">
      <c r="A104" s="253"/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2"/>
      <c r="R104" s="233"/>
      <c r="S104" s="233"/>
    </row>
    <row r="105" spans="1:19">
      <c r="A105" s="253"/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Q105" s="242"/>
      <c r="R105" s="233"/>
      <c r="S105" s="233"/>
    </row>
    <row r="106" spans="1:19">
      <c r="A106" s="253"/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2"/>
      <c r="R106" s="233"/>
      <c r="S106" s="233"/>
    </row>
    <row r="107" spans="1:19">
      <c r="A107" s="253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2"/>
      <c r="R107" s="233"/>
      <c r="S107" s="233"/>
    </row>
    <row r="108" spans="1:19">
      <c r="A108" s="253"/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  <c r="O108" s="241"/>
      <c r="P108" s="241"/>
      <c r="Q108" s="242"/>
      <c r="R108" s="233"/>
      <c r="S108" s="233"/>
    </row>
    <row r="109" spans="1:19">
      <c r="A109" s="253"/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  <c r="O109" s="241"/>
      <c r="P109" s="241"/>
      <c r="Q109" s="242"/>
      <c r="R109" s="233"/>
      <c r="S109" s="233"/>
    </row>
    <row r="110" spans="1:19">
      <c r="A110" s="253"/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  <c r="O110" s="241"/>
      <c r="P110" s="241"/>
      <c r="Q110" s="242"/>
      <c r="R110" s="233"/>
      <c r="S110" s="233"/>
    </row>
    <row r="111" spans="1:19">
      <c r="A111" s="253"/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  <c r="O111" s="241"/>
      <c r="P111" s="241"/>
      <c r="Q111" s="242"/>
      <c r="R111" s="233"/>
      <c r="S111" s="233"/>
    </row>
    <row r="112" spans="1:19">
      <c r="A112" s="253"/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  <c r="O112" s="241"/>
      <c r="P112" s="241"/>
      <c r="Q112" s="242"/>
      <c r="R112" s="233"/>
      <c r="S112" s="233"/>
    </row>
    <row r="113" spans="1:19">
      <c r="A113" s="253"/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  <c r="O113" s="241"/>
      <c r="P113" s="241"/>
      <c r="Q113" s="242"/>
      <c r="R113" s="233"/>
      <c r="S113" s="233"/>
    </row>
    <row r="114" spans="1:19">
      <c r="A114" s="253"/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  <c r="O114" s="241"/>
      <c r="P114" s="241"/>
      <c r="Q114" s="242"/>
      <c r="R114" s="233"/>
      <c r="S114" s="233"/>
    </row>
    <row r="115" spans="1:19">
      <c r="A115" s="253"/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  <c r="O115" s="241"/>
      <c r="P115" s="241"/>
      <c r="Q115" s="242"/>
      <c r="R115" s="233"/>
      <c r="S115" s="233"/>
    </row>
    <row r="116" spans="1:19">
      <c r="A116" s="253"/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  <c r="O116" s="241"/>
      <c r="P116" s="241"/>
      <c r="Q116" s="242"/>
      <c r="R116" s="233"/>
      <c r="S116" s="233"/>
    </row>
    <row r="117" spans="1:19">
      <c r="A117" s="253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  <c r="O117" s="241"/>
      <c r="P117" s="241"/>
      <c r="Q117" s="242"/>
      <c r="R117" s="233"/>
      <c r="S117" s="233"/>
    </row>
    <row r="118" spans="1:19">
      <c r="A118" s="253"/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  <c r="O118" s="241"/>
      <c r="P118" s="241"/>
      <c r="Q118" s="242"/>
      <c r="R118" s="233"/>
      <c r="S118" s="233"/>
    </row>
    <row r="119" spans="1:19">
      <c r="A119" s="253"/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  <c r="O119" s="241"/>
      <c r="P119" s="241"/>
      <c r="Q119" s="242"/>
      <c r="R119" s="233"/>
      <c r="S119" s="233"/>
    </row>
    <row r="120" spans="1:19">
      <c r="A120" s="253"/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  <c r="O120" s="241"/>
      <c r="P120" s="241"/>
      <c r="Q120" s="242"/>
      <c r="R120" s="233"/>
      <c r="S120" s="233"/>
    </row>
    <row r="121" spans="1:19">
      <c r="A121" s="253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1"/>
      <c r="P121" s="241"/>
      <c r="Q121" s="242"/>
      <c r="R121" s="233"/>
      <c r="S121" s="233"/>
    </row>
    <row r="122" spans="1:19">
      <c r="A122" s="253"/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  <c r="O122" s="241"/>
      <c r="P122" s="241"/>
      <c r="Q122" s="242"/>
      <c r="R122" s="233"/>
      <c r="S122" s="233"/>
    </row>
    <row r="123" spans="1:19">
      <c r="A123" s="253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  <c r="O123" s="241"/>
      <c r="P123" s="241"/>
      <c r="Q123" s="242"/>
      <c r="R123" s="233"/>
      <c r="S123" s="233"/>
    </row>
    <row r="124" spans="1:19">
      <c r="A124" s="253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241"/>
      <c r="Q124" s="242"/>
      <c r="R124" s="233"/>
      <c r="S124" s="233"/>
    </row>
    <row r="125" spans="1:19">
      <c r="A125" s="253"/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  <c r="O125" s="241"/>
      <c r="P125" s="241"/>
      <c r="Q125" s="242"/>
      <c r="R125" s="233"/>
      <c r="S125" s="233"/>
    </row>
    <row r="126" spans="1:19">
      <c r="A126" s="253"/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  <c r="O126" s="241"/>
      <c r="P126" s="241"/>
      <c r="Q126" s="242"/>
      <c r="R126" s="233"/>
      <c r="S126" s="233"/>
    </row>
    <row r="127" spans="1:19">
      <c r="A127" s="253"/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241"/>
      <c r="Q127" s="242"/>
      <c r="R127" s="233"/>
      <c r="S127" s="233"/>
    </row>
    <row r="128" spans="1:19">
      <c r="A128" s="253"/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  <c r="O128" s="241"/>
      <c r="P128" s="241"/>
      <c r="Q128" s="242"/>
      <c r="R128" s="233"/>
      <c r="S128" s="233"/>
    </row>
    <row r="129" spans="1:19">
      <c r="A129" s="253"/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  <c r="O129" s="241"/>
      <c r="P129" s="241"/>
      <c r="Q129" s="242"/>
      <c r="R129" s="233"/>
      <c r="S129" s="233"/>
    </row>
    <row r="130" spans="1:19">
      <c r="A130" s="253"/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  <c r="O130" s="241"/>
      <c r="P130" s="241"/>
      <c r="Q130" s="242"/>
      <c r="R130" s="233"/>
      <c r="S130" s="233"/>
    </row>
    <row r="131" spans="1:19">
      <c r="A131" s="253"/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  <c r="O131" s="241"/>
      <c r="P131" s="241"/>
      <c r="Q131" s="242"/>
      <c r="R131" s="233"/>
      <c r="S131" s="233"/>
    </row>
    <row r="132" spans="1:19">
      <c r="A132" s="253"/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241"/>
      <c r="Q132" s="242"/>
      <c r="R132" s="233"/>
      <c r="S132" s="233"/>
    </row>
    <row r="133" spans="1:19">
      <c r="A133" s="253"/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  <c r="O133" s="241"/>
      <c r="P133" s="241"/>
      <c r="Q133" s="242"/>
      <c r="R133" s="233"/>
      <c r="S133" s="233"/>
    </row>
    <row r="134" spans="1:19">
      <c r="A134" s="253"/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  <c r="O134" s="241"/>
      <c r="P134" s="241"/>
      <c r="Q134" s="242"/>
      <c r="R134" s="233"/>
      <c r="S134" s="233"/>
    </row>
    <row r="135" spans="1:19">
      <c r="A135" s="253"/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241"/>
      <c r="Q135" s="242"/>
      <c r="R135" s="233"/>
      <c r="S135" s="233"/>
    </row>
    <row r="136" spans="1:19">
      <c r="A136" s="253"/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  <c r="O136" s="241"/>
      <c r="P136" s="241"/>
      <c r="Q136" s="242"/>
      <c r="R136" s="233"/>
      <c r="S136" s="233"/>
    </row>
    <row r="137" spans="1:19">
      <c r="A137" s="253"/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  <c r="O137" s="241"/>
      <c r="P137" s="241"/>
      <c r="Q137" s="242"/>
      <c r="R137" s="233"/>
      <c r="S137" s="233"/>
    </row>
    <row r="138" spans="1:19">
      <c r="A138" s="253"/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  <c r="P138" s="241"/>
      <c r="Q138" s="242"/>
      <c r="R138" s="233"/>
      <c r="S138" s="233"/>
    </row>
    <row r="139" spans="1:19">
      <c r="A139" s="253"/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  <c r="P139" s="241"/>
      <c r="Q139" s="242"/>
      <c r="R139" s="233"/>
      <c r="S139" s="233"/>
    </row>
    <row r="140" spans="1:19">
      <c r="A140" s="253"/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2"/>
      <c r="R140" s="233"/>
      <c r="S140" s="233"/>
    </row>
    <row r="141" spans="1:19">
      <c r="A141" s="253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  <c r="O141" s="241"/>
      <c r="P141" s="241"/>
      <c r="Q141" s="242"/>
      <c r="R141" s="233"/>
      <c r="S141" s="233"/>
    </row>
    <row r="142" spans="1:19">
      <c r="A142" s="253"/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  <c r="O142" s="241"/>
      <c r="P142" s="241"/>
      <c r="Q142" s="242"/>
      <c r="R142" s="233"/>
      <c r="S142" s="233"/>
    </row>
    <row r="143" spans="1:19">
      <c r="A143" s="253"/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  <c r="O143" s="241"/>
      <c r="P143" s="241"/>
      <c r="Q143" s="242"/>
      <c r="R143" s="233"/>
      <c r="S143" s="233"/>
    </row>
    <row r="144" spans="1:19">
      <c r="A144" s="253"/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  <c r="O144" s="241"/>
      <c r="P144" s="241"/>
      <c r="Q144" s="242"/>
      <c r="R144" s="233"/>
      <c r="S144" s="233"/>
    </row>
    <row r="145" spans="1:19">
      <c r="A145" s="253"/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  <c r="O145" s="241"/>
      <c r="P145" s="241"/>
      <c r="Q145" s="242"/>
      <c r="R145" s="233"/>
      <c r="S145" s="233"/>
    </row>
    <row r="146" spans="1:19">
      <c r="A146" s="253"/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  <c r="O146" s="241"/>
      <c r="P146" s="241"/>
      <c r="Q146" s="242"/>
      <c r="R146" s="233"/>
      <c r="S146" s="233"/>
    </row>
    <row r="147" spans="1:19">
      <c r="A147" s="253"/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  <c r="O147" s="241"/>
      <c r="P147" s="241"/>
      <c r="Q147" s="242"/>
      <c r="R147" s="233"/>
      <c r="S147" s="233"/>
    </row>
    <row r="148" spans="1:19">
      <c r="A148" s="253"/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1"/>
      <c r="P148" s="241"/>
      <c r="Q148" s="242"/>
      <c r="R148" s="233"/>
      <c r="S148" s="233"/>
    </row>
    <row r="149" spans="1:19">
      <c r="A149" s="253"/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  <c r="O149" s="241"/>
      <c r="P149" s="241"/>
      <c r="Q149" s="242"/>
      <c r="R149" s="233"/>
      <c r="S149" s="233"/>
    </row>
    <row r="150" spans="1:19">
      <c r="A150" s="253"/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  <c r="O150" s="241"/>
      <c r="P150" s="241"/>
      <c r="Q150" s="242"/>
      <c r="R150" s="233"/>
      <c r="S150" s="233"/>
    </row>
    <row r="151" spans="1:19">
      <c r="A151" s="253"/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  <c r="O151" s="241"/>
      <c r="P151" s="241"/>
      <c r="Q151" s="242"/>
      <c r="R151" s="233"/>
      <c r="S151" s="233"/>
    </row>
    <row r="152" spans="1:19">
      <c r="A152" s="253"/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2"/>
      <c r="R152" s="233"/>
      <c r="S152" s="233"/>
    </row>
    <row r="153" spans="1:19">
      <c r="A153" s="253"/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  <c r="O153" s="241"/>
      <c r="P153" s="241"/>
      <c r="Q153" s="242"/>
      <c r="R153" s="233"/>
      <c r="S153" s="233"/>
    </row>
    <row r="154" spans="1:19">
      <c r="A154" s="253"/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  <c r="O154" s="241"/>
      <c r="P154" s="241"/>
      <c r="Q154" s="242"/>
      <c r="R154" s="233"/>
      <c r="S154" s="233"/>
    </row>
    <row r="155" spans="1:19">
      <c r="A155" s="253"/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  <c r="O155" s="241"/>
      <c r="P155" s="241"/>
      <c r="Q155" s="242"/>
      <c r="R155" s="233"/>
      <c r="S155" s="233"/>
    </row>
    <row r="156" spans="1:19">
      <c r="A156" s="253"/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  <c r="O156" s="241"/>
      <c r="P156" s="241"/>
      <c r="Q156" s="242"/>
      <c r="R156" s="233"/>
      <c r="S156" s="233"/>
    </row>
    <row r="157" spans="1:19">
      <c r="A157" s="253"/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  <c r="O157" s="241"/>
      <c r="P157" s="241"/>
      <c r="Q157" s="242"/>
      <c r="R157" s="233"/>
      <c r="S157" s="233"/>
    </row>
    <row r="158" spans="1:19">
      <c r="A158" s="253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  <c r="O158" s="241"/>
      <c r="P158" s="241"/>
      <c r="Q158" s="242"/>
      <c r="R158" s="233"/>
      <c r="S158" s="233"/>
    </row>
    <row r="159" spans="1:19">
      <c r="A159" s="253"/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  <c r="O159" s="241"/>
      <c r="P159" s="241"/>
      <c r="Q159" s="242"/>
      <c r="R159" s="233"/>
      <c r="S159" s="233"/>
    </row>
    <row r="160" spans="1:19">
      <c r="A160" s="253"/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  <c r="O160" s="241"/>
      <c r="P160" s="241"/>
      <c r="Q160" s="242"/>
      <c r="R160" s="233"/>
      <c r="S160" s="233"/>
    </row>
    <row r="161" spans="1:19">
      <c r="A161" s="253"/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  <c r="O161" s="241"/>
      <c r="P161" s="241"/>
      <c r="Q161" s="242"/>
      <c r="R161" s="233"/>
      <c r="S161" s="233"/>
    </row>
    <row r="162" spans="1:19">
      <c r="A162" s="253"/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  <c r="O162" s="241"/>
      <c r="P162" s="241"/>
      <c r="Q162" s="242"/>
      <c r="R162" s="233"/>
      <c r="S162" s="233"/>
    </row>
    <row r="163" spans="1:19">
      <c r="A163" s="253"/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  <c r="O163" s="241"/>
      <c r="P163" s="241"/>
      <c r="Q163" s="242"/>
      <c r="R163" s="233"/>
      <c r="S163" s="233"/>
    </row>
    <row r="164" spans="1:19">
      <c r="A164" s="253"/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  <c r="O164" s="241"/>
      <c r="P164" s="241"/>
      <c r="Q164" s="242"/>
      <c r="R164" s="233"/>
      <c r="S164" s="233"/>
    </row>
    <row r="165" spans="1:19">
      <c r="A165" s="253"/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  <c r="O165" s="241"/>
      <c r="P165" s="241"/>
      <c r="Q165" s="242"/>
      <c r="R165" s="233"/>
      <c r="S165" s="233"/>
    </row>
    <row r="166" spans="1:19">
      <c r="A166" s="253"/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  <c r="O166" s="241"/>
      <c r="P166" s="241"/>
      <c r="Q166" s="242"/>
      <c r="R166" s="233"/>
      <c r="S166" s="233"/>
    </row>
    <row r="167" spans="1:19">
      <c r="A167" s="253"/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  <c r="O167" s="241"/>
      <c r="P167" s="241"/>
      <c r="Q167" s="242"/>
      <c r="R167" s="233"/>
      <c r="S167" s="233"/>
    </row>
    <row r="168" spans="1:19">
      <c r="A168" s="253"/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  <c r="O168" s="241"/>
      <c r="P168" s="241"/>
      <c r="Q168" s="242"/>
      <c r="R168" s="233"/>
      <c r="S168" s="233"/>
    </row>
    <row r="169" spans="1:19">
      <c r="A169" s="253"/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  <c r="O169" s="241"/>
      <c r="P169" s="241"/>
      <c r="Q169" s="242"/>
      <c r="R169" s="233"/>
      <c r="S169" s="233"/>
    </row>
    <row r="170" spans="1:19">
      <c r="A170" s="253"/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  <c r="O170" s="241"/>
      <c r="P170" s="241"/>
      <c r="Q170" s="242"/>
      <c r="R170" s="233"/>
      <c r="S170" s="233"/>
    </row>
    <row r="171" spans="1:19">
      <c r="A171" s="253"/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  <c r="O171" s="241"/>
      <c r="P171" s="241"/>
      <c r="Q171" s="242"/>
      <c r="R171" s="233"/>
      <c r="S171" s="233"/>
    </row>
    <row r="172" spans="1:19">
      <c r="A172" s="253"/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  <c r="O172" s="241"/>
      <c r="P172" s="241"/>
      <c r="Q172" s="242"/>
      <c r="R172" s="233"/>
      <c r="S172" s="233"/>
    </row>
    <row r="173" spans="1:19">
      <c r="A173" s="253"/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  <c r="O173" s="241"/>
      <c r="P173" s="241"/>
      <c r="Q173" s="242"/>
      <c r="R173" s="233"/>
      <c r="S173" s="233"/>
    </row>
    <row r="174" spans="1:19">
      <c r="A174" s="253"/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  <c r="O174" s="241"/>
      <c r="P174" s="241"/>
      <c r="Q174" s="242"/>
      <c r="R174" s="233"/>
      <c r="S174" s="233"/>
    </row>
    <row r="175" spans="1:19">
      <c r="A175" s="253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1"/>
      <c r="P175" s="241"/>
      <c r="Q175" s="242"/>
      <c r="R175" s="233"/>
      <c r="S175" s="233"/>
    </row>
    <row r="176" spans="1:19">
      <c r="A176" s="253"/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  <c r="O176" s="241"/>
      <c r="P176" s="241"/>
      <c r="Q176" s="242"/>
      <c r="R176" s="233"/>
      <c r="S176" s="233"/>
    </row>
    <row r="177" spans="1:19">
      <c r="A177" s="253"/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  <c r="O177" s="241"/>
      <c r="P177" s="241"/>
      <c r="Q177" s="242"/>
      <c r="R177" s="233"/>
      <c r="S177" s="233"/>
    </row>
    <row r="178" spans="1:19">
      <c r="A178" s="253"/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  <c r="O178" s="241"/>
      <c r="P178" s="241"/>
      <c r="Q178" s="242"/>
      <c r="R178" s="233"/>
      <c r="S178" s="233"/>
    </row>
    <row r="179" spans="1:19">
      <c r="A179" s="253"/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  <c r="O179" s="241"/>
      <c r="P179" s="241"/>
      <c r="Q179" s="242"/>
      <c r="R179" s="233"/>
      <c r="S179" s="233"/>
    </row>
    <row r="180" spans="1:19">
      <c r="A180" s="253"/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  <c r="O180" s="241"/>
      <c r="P180" s="241"/>
      <c r="Q180" s="242"/>
      <c r="R180" s="233"/>
      <c r="S180" s="233"/>
    </row>
    <row r="181" spans="1:19">
      <c r="A181" s="253"/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  <c r="O181" s="241"/>
      <c r="P181" s="241"/>
      <c r="Q181" s="242"/>
      <c r="R181" s="233"/>
      <c r="S181" s="233"/>
    </row>
    <row r="182" spans="1:19">
      <c r="A182" s="253"/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  <c r="O182" s="241"/>
      <c r="P182" s="241"/>
      <c r="Q182" s="242"/>
      <c r="R182" s="233"/>
      <c r="S182" s="233"/>
    </row>
    <row r="183" spans="1:19">
      <c r="A183" s="253"/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  <c r="O183" s="241"/>
      <c r="P183" s="241"/>
      <c r="Q183" s="242"/>
      <c r="R183" s="233"/>
      <c r="S183" s="233"/>
    </row>
    <row r="184" spans="1:19">
      <c r="A184" s="253"/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  <c r="O184" s="241"/>
      <c r="P184" s="241"/>
      <c r="Q184" s="242"/>
      <c r="R184" s="233"/>
      <c r="S184" s="233"/>
    </row>
    <row r="185" spans="1:19">
      <c r="A185" s="253"/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  <c r="O185" s="241"/>
      <c r="P185" s="241"/>
      <c r="Q185" s="242"/>
      <c r="R185" s="233"/>
      <c r="S185" s="233"/>
    </row>
    <row r="186" spans="1:19">
      <c r="A186" s="253"/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  <c r="O186" s="241"/>
      <c r="P186" s="241"/>
      <c r="Q186" s="242"/>
      <c r="R186" s="233"/>
      <c r="S186" s="233"/>
    </row>
    <row r="187" spans="1:19">
      <c r="A187" s="253"/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  <c r="O187" s="241"/>
      <c r="P187" s="241"/>
      <c r="Q187" s="242"/>
      <c r="R187" s="233"/>
      <c r="S187" s="233"/>
    </row>
    <row r="188" spans="1:19">
      <c r="A188" s="253"/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  <c r="O188" s="241"/>
      <c r="P188" s="241"/>
      <c r="Q188" s="242"/>
      <c r="R188" s="233"/>
      <c r="S188" s="233"/>
    </row>
    <row r="189" spans="1:19">
      <c r="A189" s="253"/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  <c r="O189" s="241"/>
      <c r="P189" s="241"/>
      <c r="Q189" s="242"/>
      <c r="R189" s="233"/>
      <c r="S189" s="233"/>
    </row>
    <row r="190" spans="1:19">
      <c r="A190" s="253"/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  <c r="O190" s="241"/>
      <c r="P190" s="241"/>
      <c r="Q190" s="242"/>
      <c r="R190" s="233"/>
      <c r="S190" s="233"/>
    </row>
    <row r="191" spans="1:19">
      <c r="A191" s="253"/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  <c r="O191" s="241"/>
      <c r="P191" s="241"/>
      <c r="Q191" s="242"/>
      <c r="R191" s="233"/>
      <c r="S191" s="233"/>
    </row>
    <row r="192" spans="1:19">
      <c r="A192" s="253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  <c r="O192" s="241"/>
      <c r="P192" s="241"/>
      <c r="Q192" s="242"/>
      <c r="R192" s="233"/>
      <c r="S192" s="233"/>
    </row>
    <row r="193" spans="1:19">
      <c r="A193" s="253"/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2"/>
      <c r="R193" s="233"/>
      <c r="S193" s="233"/>
    </row>
    <row r="194" spans="1:19">
      <c r="A194" s="253"/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  <c r="O194" s="241"/>
      <c r="P194" s="241"/>
      <c r="Q194" s="242"/>
      <c r="R194" s="233"/>
      <c r="S194" s="233"/>
    </row>
    <row r="195" spans="1:19">
      <c r="A195" s="253"/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  <c r="O195" s="241"/>
      <c r="P195" s="241"/>
      <c r="Q195" s="242"/>
      <c r="R195" s="233"/>
      <c r="S195" s="233"/>
    </row>
    <row r="196" spans="1:19">
      <c r="A196" s="253"/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  <c r="O196" s="241"/>
      <c r="P196" s="241"/>
      <c r="Q196" s="242"/>
      <c r="R196" s="233"/>
      <c r="S196" s="233"/>
    </row>
    <row r="197" spans="1:19">
      <c r="A197" s="253"/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  <c r="O197" s="241"/>
      <c r="P197" s="241"/>
      <c r="Q197" s="242"/>
      <c r="R197" s="233"/>
      <c r="S197" s="233"/>
    </row>
    <row r="198" spans="1:19">
      <c r="A198" s="253"/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  <c r="O198" s="241"/>
      <c r="P198" s="241"/>
      <c r="Q198" s="242"/>
      <c r="R198" s="233"/>
      <c r="S198" s="233"/>
    </row>
    <row r="199" spans="1:19">
      <c r="A199" s="253"/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  <c r="O199" s="241"/>
      <c r="P199" s="241"/>
      <c r="Q199" s="242"/>
      <c r="R199" s="233"/>
      <c r="S199" s="233"/>
    </row>
    <row r="200" spans="1:19">
      <c r="A200" s="253"/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  <c r="O200" s="241"/>
      <c r="P200" s="241"/>
      <c r="Q200" s="242"/>
      <c r="R200" s="233"/>
      <c r="S200" s="233"/>
    </row>
    <row r="201" spans="1:19">
      <c r="A201" s="253"/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  <c r="O201" s="241"/>
      <c r="P201" s="241"/>
      <c r="Q201" s="242"/>
      <c r="R201" s="233"/>
      <c r="S201" s="233"/>
    </row>
    <row r="202" spans="1:19">
      <c r="A202" s="253"/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  <c r="O202" s="241"/>
      <c r="P202" s="241"/>
      <c r="Q202" s="242"/>
      <c r="R202" s="233"/>
      <c r="S202" s="233"/>
    </row>
    <row r="203" spans="1:19">
      <c r="A203" s="253"/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  <c r="O203" s="241"/>
      <c r="P203" s="241"/>
      <c r="Q203" s="242"/>
      <c r="R203" s="233"/>
      <c r="S203" s="233"/>
    </row>
    <row r="204" spans="1:19">
      <c r="A204" s="253"/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  <c r="O204" s="241"/>
      <c r="P204" s="241"/>
      <c r="Q204" s="242"/>
      <c r="R204" s="233"/>
      <c r="S204" s="233"/>
    </row>
    <row r="205" spans="1:19">
      <c r="A205" s="253"/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  <c r="O205" s="241"/>
      <c r="P205" s="241"/>
      <c r="Q205" s="242"/>
      <c r="R205" s="233"/>
      <c r="S205" s="233"/>
    </row>
    <row r="206" spans="1:19">
      <c r="A206" s="253"/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  <c r="O206" s="241"/>
      <c r="P206" s="241"/>
      <c r="Q206" s="242"/>
      <c r="R206" s="233"/>
      <c r="S206" s="233"/>
    </row>
    <row r="207" spans="1:19">
      <c r="A207" s="253"/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  <c r="O207" s="241"/>
      <c r="P207" s="241"/>
      <c r="Q207" s="242"/>
      <c r="R207" s="233"/>
      <c r="S207" s="233"/>
    </row>
    <row r="208" spans="1:19">
      <c r="A208" s="253"/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  <c r="O208" s="241"/>
      <c r="P208" s="241"/>
      <c r="Q208" s="242"/>
      <c r="R208" s="233"/>
      <c r="S208" s="233"/>
    </row>
    <row r="209" spans="1:19">
      <c r="A209" s="253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  <c r="O209" s="241"/>
      <c r="P209" s="241"/>
      <c r="Q209" s="242"/>
      <c r="R209" s="233"/>
      <c r="S209" s="233"/>
    </row>
    <row r="210" spans="1:19">
      <c r="A210" s="253"/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  <c r="O210" s="241"/>
      <c r="P210" s="241"/>
      <c r="Q210" s="242"/>
      <c r="R210" s="233"/>
      <c r="S210" s="233"/>
    </row>
    <row r="211" spans="1:19">
      <c r="A211" s="253"/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  <c r="O211" s="241"/>
      <c r="P211" s="241"/>
      <c r="Q211" s="242"/>
      <c r="R211" s="233"/>
      <c r="S211" s="233"/>
    </row>
    <row r="212" spans="1:19">
      <c r="A212" s="253"/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  <c r="O212" s="241"/>
      <c r="P212" s="241"/>
      <c r="Q212" s="242"/>
      <c r="R212" s="233"/>
      <c r="S212" s="233"/>
    </row>
    <row r="213" spans="1:19">
      <c r="A213" s="253"/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  <c r="O213" s="241"/>
      <c r="P213" s="241"/>
      <c r="Q213" s="242"/>
      <c r="R213" s="233"/>
      <c r="S213" s="233"/>
    </row>
    <row r="214" spans="1:19">
      <c r="A214" s="253"/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  <c r="O214" s="241"/>
      <c r="P214" s="241"/>
      <c r="Q214" s="242"/>
      <c r="R214" s="233"/>
      <c r="S214" s="233"/>
    </row>
    <row r="215" spans="1:19">
      <c r="A215" s="253"/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  <c r="O215" s="241"/>
      <c r="P215" s="241"/>
      <c r="Q215" s="242"/>
      <c r="R215" s="233"/>
      <c r="S215" s="233"/>
    </row>
    <row r="216" spans="1:19">
      <c r="A216" s="253"/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  <c r="O216" s="241"/>
      <c r="P216" s="241"/>
      <c r="Q216" s="242"/>
      <c r="R216" s="233"/>
      <c r="S216" s="233"/>
    </row>
    <row r="217" spans="1:19">
      <c r="A217" s="253"/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  <c r="O217" s="241"/>
      <c r="P217" s="241"/>
      <c r="Q217" s="242"/>
      <c r="R217" s="233"/>
      <c r="S217" s="233"/>
    </row>
    <row r="218" spans="1:19">
      <c r="A218" s="253"/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  <c r="O218" s="241"/>
      <c r="P218" s="241"/>
      <c r="Q218" s="242"/>
      <c r="R218" s="233"/>
      <c r="S218" s="233"/>
    </row>
    <row r="219" spans="1:19">
      <c r="A219" s="253"/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  <c r="O219" s="241"/>
      <c r="P219" s="241"/>
      <c r="Q219" s="242"/>
      <c r="R219" s="233"/>
      <c r="S219" s="233"/>
    </row>
    <row r="220" spans="1:19">
      <c r="A220" s="253"/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  <c r="O220" s="241"/>
      <c r="P220" s="241"/>
      <c r="Q220" s="242"/>
      <c r="R220" s="233"/>
      <c r="S220" s="233"/>
    </row>
    <row r="221" spans="1:19">
      <c r="A221" s="253"/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  <c r="O221" s="241"/>
      <c r="P221" s="241"/>
      <c r="Q221" s="242"/>
      <c r="R221" s="233"/>
      <c r="S221" s="233"/>
    </row>
    <row r="222" spans="1:19">
      <c r="A222" s="253"/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  <c r="O222" s="241"/>
      <c r="P222" s="241"/>
      <c r="Q222" s="242"/>
      <c r="R222" s="233"/>
      <c r="S222" s="233"/>
    </row>
    <row r="223" spans="1:19">
      <c r="A223" s="253"/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  <c r="O223" s="241"/>
      <c r="P223" s="241"/>
      <c r="Q223" s="242"/>
      <c r="R223" s="233"/>
      <c r="S223" s="233"/>
    </row>
    <row r="224" spans="1:19">
      <c r="A224" s="253"/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  <c r="O224" s="241"/>
      <c r="P224" s="241"/>
      <c r="Q224" s="242"/>
      <c r="R224" s="233"/>
      <c r="S224" s="233"/>
    </row>
    <row r="225" spans="1:19">
      <c r="A225" s="253"/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  <c r="O225" s="241"/>
      <c r="P225" s="241"/>
      <c r="Q225" s="242"/>
      <c r="R225" s="233"/>
      <c r="S225" s="233"/>
    </row>
    <row r="226" spans="1:19">
      <c r="A226" s="253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  <c r="O226" s="241"/>
      <c r="P226" s="241"/>
      <c r="Q226" s="242"/>
      <c r="R226" s="233"/>
      <c r="S226" s="233"/>
    </row>
    <row r="227" spans="1:19">
      <c r="A227" s="253"/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  <c r="O227" s="241"/>
      <c r="P227" s="241"/>
      <c r="Q227" s="242"/>
      <c r="R227" s="233"/>
      <c r="S227" s="233"/>
    </row>
    <row r="228" spans="1:19">
      <c r="A228" s="253"/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  <c r="O228" s="241"/>
      <c r="P228" s="241"/>
      <c r="Q228" s="242"/>
      <c r="R228" s="233"/>
      <c r="S228" s="233"/>
    </row>
    <row r="229" spans="1:19">
      <c r="A229" s="253"/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  <c r="O229" s="241"/>
      <c r="P229" s="241"/>
      <c r="Q229" s="242"/>
      <c r="R229" s="233"/>
      <c r="S229" s="233"/>
    </row>
    <row r="230" spans="1:19">
      <c r="A230" s="253"/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  <c r="O230" s="241"/>
      <c r="P230" s="241"/>
      <c r="Q230" s="242"/>
      <c r="R230" s="233"/>
      <c r="S230" s="233"/>
    </row>
    <row r="231" spans="1:19">
      <c r="A231" s="253"/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  <c r="O231" s="241"/>
      <c r="P231" s="241"/>
      <c r="Q231" s="242"/>
      <c r="R231" s="233"/>
      <c r="S231" s="233"/>
    </row>
    <row r="232" spans="1:19">
      <c r="A232" s="253"/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  <c r="O232" s="241"/>
      <c r="P232" s="241"/>
      <c r="Q232" s="242"/>
      <c r="R232" s="233"/>
      <c r="S232" s="233"/>
    </row>
    <row r="233" spans="1:19">
      <c r="A233" s="253"/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  <c r="O233" s="241"/>
      <c r="P233" s="241"/>
      <c r="Q233" s="242"/>
      <c r="R233" s="233"/>
      <c r="S233" s="233"/>
    </row>
    <row r="234" spans="1:19">
      <c r="A234" s="253"/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2"/>
      <c r="R234" s="233"/>
      <c r="S234" s="233"/>
    </row>
    <row r="235" spans="1:19">
      <c r="A235" s="253"/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  <c r="O235" s="241"/>
      <c r="P235" s="241"/>
      <c r="Q235" s="242"/>
      <c r="R235" s="233"/>
      <c r="S235" s="233"/>
    </row>
    <row r="236" spans="1:19">
      <c r="A236" s="253"/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  <c r="O236" s="241"/>
      <c r="P236" s="241"/>
      <c r="Q236" s="242"/>
      <c r="R236" s="233"/>
      <c r="S236" s="233"/>
    </row>
    <row r="237" spans="1:19">
      <c r="A237" s="253"/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  <c r="O237" s="241"/>
      <c r="P237" s="241"/>
      <c r="Q237" s="242"/>
      <c r="R237" s="233"/>
      <c r="S237" s="233"/>
    </row>
    <row r="238" spans="1:19">
      <c r="A238" s="253"/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  <c r="O238" s="241"/>
      <c r="P238" s="241"/>
      <c r="Q238" s="242"/>
      <c r="R238" s="233"/>
      <c r="S238" s="233"/>
    </row>
    <row r="239" spans="1:19">
      <c r="A239" s="253"/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  <c r="O239" s="241"/>
      <c r="P239" s="241"/>
      <c r="Q239" s="242"/>
      <c r="R239" s="233"/>
      <c r="S239" s="233"/>
    </row>
    <row r="240" spans="1:19">
      <c r="A240" s="253"/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  <c r="O240" s="241"/>
      <c r="P240" s="241"/>
      <c r="Q240" s="242"/>
      <c r="R240" s="233"/>
      <c r="S240" s="233"/>
    </row>
    <row r="241" spans="1:19">
      <c r="A241" s="253"/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  <c r="O241" s="241"/>
      <c r="P241" s="241"/>
      <c r="Q241" s="242"/>
      <c r="R241" s="233"/>
      <c r="S241" s="233"/>
    </row>
    <row r="242" spans="1:19">
      <c r="A242" s="253"/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  <c r="O242" s="241"/>
      <c r="P242" s="241"/>
      <c r="Q242" s="242"/>
      <c r="R242" s="233"/>
      <c r="S242" s="233"/>
    </row>
    <row r="243" spans="1:19">
      <c r="A243" s="253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  <c r="O243" s="241"/>
      <c r="P243" s="241"/>
      <c r="Q243" s="242"/>
      <c r="R243" s="233"/>
      <c r="S243" s="233"/>
    </row>
    <row r="244" spans="1:19">
      <c r="A244" s="253"/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  <c r="O244" s="241"/>
      <c r="P244" s="241"/>
      <c r="Q244" s="242"/>
      <c r="R244" s="233"/>
      <c r="S244" s="233"/>
    </row>
    <row r="245" spans="1:19">
      <c r="A245" s="253"/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  <c r="O245" s="241"/>
      <c r="P245" s="241"/>
      <c r="Q245" s="242"/>
      <c r="R245" s="233"/>
      <c r="S245" s="233"/>
    </row>
    <row r="246" spans="1:19">
      <c r="A246" s="253"/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  <c r="O246" s="241"/>
      <c r="P246" s="241"/>
      <c r="Q246" s="242"/>
      <c r="R246" s="233"/>
      <c r="S246" s="233"/>
    </row>
    <row r="247" spans="1:19">
      <c r="A247" s="253"/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  <c r="O247" s="241"/>
      <c r="P247" s="241"/>
      <c r="Q247" s="242"/>
      <c r="R247" s="233"/>
      <c r="S247" s="233"/>
    </row>
    <row r="248" spans="1:19">
      <c r="A248" s="253"/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  <c r="O248" s="241"/>
      <c r="P248" s="241"/>
      <c r="Q248" s="242"/>
      <c r="R248" s="233"/>
      <c r="S248" s="233"/>
    </row>
    <row r="249" spans="1:19">
      <c r="A249" s="253"/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  <c r="O249" s="241"/>
      <c r="P249" s="241"/>
      <c r="Q249" s="242"/>
      <c r="R249" s="233"/>
      <c r="S249" s="233"/>
    </row>
    <row r="250" spans="1:19">
      <c r="A250" s="253"/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  <c r="O250" s="241"/>
      <c r="P250" s="241"/>
      <c r="Q250" s="242"/>
      <c r="R250" s="233"/>
      <c r="S250" s="233"/>
    </row>
    <row r="251" spans="1:19">
      <c r="A251" s="253"/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  <c r="O251" s="241"/>
      <c r="P251" s="241"/>
      <c r="Q251" s="242"/>
      <c r="R251" s="233"/>
      <c r="S251" s="233"/>
    </row>
    <row r="252" spans="1:19">
      <c r="A252" s="253"/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  <c r="O252" s="241"/>
      <c r="P252" s="241"/>
      <c r="Q252" s="242"/>
      <c r="R252" s="233"/>
      <c r="S252" s="233"/>
    </row>
    <row r="253" spans="1:19">
      <c r="A253" s="253"/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  <c r="O253" s="241"/>
      <c r="P253" s="241"/>
      <c r="Q253" s="242"/>
      <c r="R253" s="233"/>
      <c r="S253" s="233"/>
    </row>
    <row r="254" spans="1:19">
      <c r="A254" s="253"/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  <c r="O254" s="241"/>
      <c r="P254" s="241"/>
      <c r="Q254" s="242"/>
      <c r="R254" s="233"/>
      <c r="S254" s="233"/>
    </row>
    <row r="255" spans="1:19">
      <c r="A255" s="253"/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  <c r="O255" s="241"/>
      <c r="P255" s="241"/>
      <c r="Q255" s="242"/>
      <c r="R255" s="233"/>
      <c r="S255" s="233"/>
    </row>
    <row r="256" spans="1:19">
      <c r="A256" s="253"/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  <c r="O256" s="241"/>
      <c r="P256" s="241"/>
      <c r="Q256" s="242"/>
      <c r="R256" s="233"/>
      <c r="S256" s="233"/>
    </row>
    <row r="257" spans="1:19">
      <c r="A257" s="253"/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  <c r="O257" s="241"/>
      <c r="P257" s="241"/>
      <c r="Q257" s="242"/>
      <c r="R257" s="233"/>
      <c r="S257" s="233"/>
    </row>
    <row r="258" spans="1:19">
      <c r="A258" s="253"/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  <c r="O258" s="241"/>
      <c r="P258" s="241"/>
      <c r="Q258" s="242"/>
      <c r="R258" s="233"/>
      <c r="S258" s="233"/>
    </row>
    <row r="259" spans="1:19">
      <c r="A259" s="253"/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  <c r="O259" s="241"/>
      <c r="P259" s="241"/>
      <c r="Q259" s="242"/>
      <c r="R259" s="233"/>
      <c r="S259" s="233"/>
    </row>
    <row r="260" spans="1:19">
      <c r="A260" s="253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  <c r="O260" s="241"/>
      <c r="P260" s="241"/>
      <c r="Q260" s="242"/>
      <c r="R260" s="233"/>
      <c r="S260" s="233"/>
    </row>
    <row r="261" spans="1:19">
      <c r="A261" s="253"/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  <c r="O261" s="241"/>
      <c r="P261" s="241"/>
      <c r="Q261" s="242"/>
      <c r="R261" s="233"/>
      <c r="S261" s="233"/>
    </row>
    <row r="262" spans="1:19">
      <c r="A262" s="253"/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  <c r="O262" s="241"/>
      <c r="P262" s="241"/>
      <c r="Q262" s="242"/>
      <c r="R262" s="233"/>
      <c r="S262" s="233"/>
    </row>
    <row r="263" spans="1:19">
      <c r="A263" s="253"/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  <c r="O263" s="241"/>
      <c r="P263" s="241"/>
      <c r="Q263" s="242"/>
      <c r="R263" s="233"/>
      <c r="S263" s="233"/>
    </row>
    <row r="264" spans="1:19">
      <c r="A264" s="253"/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  <c r="O264" s="241"/>
      <c r="P264" s="241"/>
      <c r="Q264" s="242"/>
      <c r="R264" s="233"/>
      <c r="S264" s="233"/>
    </row>
    <row r="265" spans="1:19">
      <c r="A265" s="253"/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  <c r="O265" s="241"/>
      <c r="P265" s="241"/>
      <c r="Q265" s="242"/>
      <c r="R265" s="233"/>
      <c r="S265" s="233"/>
    </row>
    <row r="266" spans="1:19">
      <c r="A266" s="253"/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  <c r="O266" s="241"/>
      <c r="P266" s="241"/>
      <c r="Q266" s="242"/>
      <c r="R266" s="233"/>
      <c r="S266" s="233"/>
    </row>
    <row r="267" spans="1:19">
      <c r="A267" s="253"/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  <c r="O267" s="241"/>
      <c r="P267" s="241"/>
      <c r="Q267" s="242"/>
      <c r="R267" s="233"/>
      <c r="S267" s="233"/>
    </row>
    <row r="268" spans="1:19">
      <c r="A268" s="253"/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  <c r="O268" s="241"/>
      <c r="P268" s="241"/>
      <c r="Q268" s="242"/>
      <c r="R268" s="233"/>
      <c r="S268" s="233"/>
    </row>
    <row r="269" spans="1:19">
      <c r="A269" s="253"/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  <c r="O269" s="241"/>
      <c r="P269" s="241"/>
      <c r="Q269" s="242"/>
      <c r="R269" s="233"/>
      <c r="S269" s="233"/>
    </row>
    <row r="270" spans="1:19">
      <c r="A270" s="253"/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  <c r="O270" s="241"/>
      <c r="P270" s="241"/>
      <c r="Q270" s="242"/>
      <c r="R270" s="233"/>
      <c r="S270" s="233"/>
    </row>
    <row r="271" spans="1:19">
      <c r="A271" s="253"/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  <c r="O271" s="241"/>
      <c r="P271" s="241"/>
      <c r="Q271" s="242"/>
      <c r="R271" s="233"/>
      <c r="S271" s="233"/>
    </row>
    <row r="272" spans="1:19">
      <c r="A272" s="253"/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  <c r="O272" s="241"/>
      <c r="P272" s="241"/>
      <c r="Q272" s="242"/>
      <c r="R272" s="233"/>
      <c r="S272" s="233"/>
    </row>
    <row r="273" spans="1:19">
      <c r="A273" s="253"/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  <c r="O273" s="241"/>
      <c r="P273" s="241"/>
      <c r="Q273" s="242"/>
      <c r="R273" s="233"/>
      <c r="S273" s="233"/>
    </row>
    <row r="274" spans="1:19">
      <c r="A274" s="253"/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  <c r="O274" s="241"/>
      <c r="P274" s="241"/>
      <c r="Q274" s="242"/>
      <c r="R274" s="233"/>
      <c r="S274" s="233"/>
    </row>
    <row r="275" spans="1:19">
      <c r="A275" s="253"/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  <c r="O275" s="241"/>
      <c r="P275" s="241"/>
      <c r="Q275" s="242"/>
      <c r="R275" s="233"/>
      <c r="S275" s="233"/>
    </row>
    <row r="276" spans="1:19">
      <c r="A276" s="253"/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  <c r="O276" s="241"/>
      <c r="P276" s="241"/>
      <c r="Q276" s="242"/>
      <c r="R276" s="233"/>
      <c r="S276" s="233"/>
    </row>
    <row r="277" spans="1:19">
      <c r="A277" s="253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  <c r="O277" s="241"/>
      <c r="P277" s="241"/>
      <c r="Q277" s="242"/>
      <c r="R277" s="233"/>
      <c r="S277" s="233"/>
    </row>
    <row r="278" spans="1:19">
      <c r="A278" s="253"/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  <c r="O278" s="241"/>
      <c r="P278" s="241"/>
      <c r="Q278" s="242"/>
      <c r="R278" s="233"/>
      <c r="S278" s="233"/>
    </row>
    <row r="279" spans="1:19">
      <c r="A279" s="253"/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  <c r="O279" s="241"/>
      <c r="P279" s="241"/>
      <c r="Q279" s="242"/>
      <c r="R279" s="233"/>
      <c r="S279" s="233"/>
    </row>
    <row r="280" spans="1:19">
      <c r="A280" s="253"/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  <c r="O280" s="241"/>
      <c r="P280" s="241"/>
      <c r="Q280" s="242"/>
      <c r="R280" s="233"/>
      <c r="S280" s="233"/>
    </row>
    <row r="281" spans="1:19">
      <c r="A281" s="253"/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  <c r="O281" s="241"/>
      <c r="P281" s="241"/>
      <c r="Q281" s="242"/>
      <c r="R281" s="233"/>
      <c r="S281" s="233"/>
    </row>
    <row r="282" spans="1:19">
      <c r="A282" s="253"/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  <c r="O282" s="241"/>
      <c r="P282" s="241"/>
      <c r="Q282" s="242"/>
      <c r="R282" s="233"/>
      <c r="S282" s="233"/>
    </row>
    <row r="283" spans="1:19">
      <c r="A283" s="253"/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  <c r="O283" s="241"/>
      <c r="P283" s="241"/>
      <c r="Q283" s="242"/>
      <c r="R283" s="233"/>
      <c r="S283" s="233"/>
    </row>
    <row r="284" spans="1:19">
      <c r="A284" s="253"/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  <c r="O284" s="241"/>
      <c r="P284" s="241"/>
      <c r="Q284" s="242"/>
      <c r="R284" s="233"/>
      <c r="S284" s="233"/>
    </row>
    <row r="285" spans="1:19">
      <c r="A285" s="253"/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  <c r="O285" s="241"/>
      <c r="P285" s="241"/>
      <c r="Q285" s="242"/>
      <c r="R285" s="233"/>
      <c r="S285" s="233"/>
    </row>
    <row r="286" spans="1:19">
      <c r="A286" s="253"/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  <c r="O286" s="241"/>
      <c r="P286" s="241"/>
      <c r="Q286" s="242"/>
      <c r="R286" s="233"/>
      <c r="S286" s="233"/>
    </row>
    <row r="287" spans="1:19">
      <c r="A287" s="253"/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  <c r="O287" s="241"/>
      <c r="P287" s="241"/>
      <c r="Q287" s="242"/>
      <c r="R287" s="233"/>
      <c r="S287" s="233"/>
    </row>
    <row r="288" spans="1:19">
      <c r="A288" s="253"/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  <c r="O288" s="241"/>
      <c r="P288" s="241"/>
      <c r="Q288" s="242"/>
      <c r="R288" s="233"/>
      <c r="S288" s="233"/>
    </row>
    <row r="289" spans="1:19">
      <c r="A289" s="253"/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  <c r="O289" s="241"/>
      <c r="P289" s="241"/>
      <c r="Q289" s="242"/>
      <c r="R289" s="233"/>
      <c r="S289" s="233"/>
    </row>
    <row r="290" spans="1:19">
      <c r="A290" s="253"/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  <c r="O290" s="241"/>
      <c r="P290" s="241"/>
      <c r="Q290" s="242"/>
      <c r="R290" s="233"/>
      <c r="S290" s="233"/>
    </row>
    <row r="291" spans="1:19">
      <c r="A291" s="253"/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  <c r="O291" s="241"/>
      <c r="P291" s="241"/>
      <c r="Q291" s="242"/>
      <c r="R291" s="233"/>
      <c r="S291" s="233"/>
    </row>
    <row r="292" spans="1:19">
      <c r="A292" s="253"/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  <c r="O292" s="241"/>
      <c r="P292" s="241"/>
      <c r="Q292" s="242"/>
      <c r="R292" s="233"/>
      <c r="S292" s="233"/>
    </row>
    <row r="293" spans="1:19">
      <c r="A293" s="253"/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  <c r="O293" s="241"/>
      <c r="P293" s="241"/>
      <c r="Q293" s="242"/>
      <c r="R293" s="233"/>
      <c r="S293" s="233"/>
    </row>
    <row r="294" spans="1:19">
      <c r="A294" s="253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  <c r="O294" s="241"/>
      <c r="P294" s="241"/>
      <c r="Q294" s="242"/>
      <c r="R294" s="233"/>
      <c r="S294" s="233"/>
    </row>
    <row r="295" spans="1:19">
      <c r="A295" s="253"/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  <c r="O295" s="241"/>
      <c r="P295" s="241"/>
      <c r="Q295" s="242"/>
      <c r="R295" s="233"/>
      <c r="S295" s="233"/>
    </row>
    <row r="296" spans="1:19">
      <c r="A296" s="253"/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  <c r="O296" s="241"/>
      <c r="P296" s="241"/>
      <c r="Q296" s="242"/>
      <c r="R296" s="233"/>
      <c r="S296" s="233"/>
    </row>
    <row r="297" spans="1:19">
      <c r="A297" s="253"/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  <c r="O297" s="241"/>
      <c r="P297" s="241"/>
      <c r="Q297" s="242"/>
      <c r="R297" s="233"/>
      <c r="S297" s="233"/>
    </row>
    <row r="298" spans="1:19">
      <c r="A298" s="253"/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  <c r="O298" s="241"/>
      <c r="P298" s="241"/>
      <c r="Q298" s="242"/>
      <c r="R298" s="233"/>
      <c r="S298" s="233"/>
    </row>
    <row r="299" spans="1:19">
      <c r="A299" s="253"/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  <c r="O299" s="241"/>
      <c r="P299" s="241"/>
      <c r="Q299" s="242"/>
      <c r="R299" s="233"/>
      <c r="S299" s="233"/>
    </row>
    <row r="300" spans="1:19">
      <c r="A300" s="253"/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  <c r="O300" s="241"/>
      <c r="P300" s="241"/>
      <c r="Q300" s="242"/>
      <c r="R300" s="233"/>
      <c r="S300" s="233"/>
    </row>
    <row r="301" spans="1:19" ht="16" thickBot="1">
      <c r="A301" s="25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4"/>
      <c r="R301" s="233"/>
      <c r="S301" s="233"/>
    </row>
    <row r="302" spans="1:19">
      <c r="A302" s="254"/>
      <c r="B302" s="245"/>
      <c r="C302" s="245"/>
      <c r="D302" s="245"/>
      <c r="E302" s="245"/>
      <c r="F302" s="245"/>
      <c r="G302" s="245"/>
      <c r="H302" s="245"/>
      <c r="I302" s="245"/>
      <c r="J302" s="245"/>
      <c r="K302" s="245"/>
      <c r="L302" s="245"/>
      <c r="M302" s="245"/>
      <c r="N302" s="245"/>
      <c r="O302" s="245"/>
      <c r="P302" s="245"/>
      <c r="Q302" s="245"/>
      <c r="R302" s="233"/>
      <c r="S302" s="233"/>
    </row>
    <row r="303" spans="1:19">
      <c r="A303" s="254"/>
      <c r="B303" s="245"/>
      <c r="C303" s="245"/>
      <c r="D303" s="245"/>
      <c r="E303" s="245"/>
      <c r="F303" s="245"/>
      <c r="G303" s="245"/>
      <c r="H303" s="245"/>
      <c r="I303" s="245"/>
      <c r="J303" s="245"/>
      <c r="K303" s="245"/>
      <c r="L303" s="245"/>
      <c r="M303" s="245"/>
      <c r="N303" s="245"/>
      <c r="O303" s="245"/>
      <c r="P303" s="245"/>
      <c r="Q303" s="245"/>
      <c r="R303" s="233"/>
      <c r="S303" s="233"/>
    </row>
    <row r="304" spans="1:19">
      <c r="A304" s="254"/>
      <c r="B304" s="245"/>
      <c r="C304" s="245"/>
      <c r="D304" s="245"/>
      <c r="E304" s="245"/>
      <c r="F304" s="245"/>
      <c r="G304" s="245"/>
      <c r="H304" s="245"/>
      <c r="I304" s="245"/>
      <c r="J304" s="245"/>
      <c r="K304" s="245"/>
      <c r="L304" s="245"/>
      <c r="M304" s="245"/>
      <c r="N304" s="245"/>
      <c r="O304" s="245"/>
      <c r="P304" s="245"/>
      <c r="Q304" s="245"/>
      <c r="R304" s="233"/>
      <c r="S304" s="233"/>
    </row>
    <row r="305" spans="1:19">
      <c r="A305" s="254"/>
      <c r="B305" s="245"/>
      <c r="C305" s="245"/>
      <c r="D305" s="245"/>
      <c r="E305" s="245"/>
      <c r="F305" s="245"/>
      <c r="G305" s="245"/>
      <c r="H305" s="245"/>
      <c r="I305" s="245"/>
      <c r="J305" s="245"/>
      <c r="K305" s="245"/>
      <c r="L305" s="245"/>
      <c r="M305" s="245"/>
      <c r="N305" s="245"/>
      <c r="O305" s="245"/>
      <c r="P305" s="245"/>
      <c r="Q305" s="245"/>
      <c r="R305" s="233"/>
      <c r="S305" s="23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>
    <tabColor theme="6" tint="0.59999389629810485"/>
  </sheetPr>
  <dimension ref="A1:U305"/>
  <sheetViews>
    <sheetView zoomScale="70" zoomScaleNormal="70" workbookViewId="0">
      <selection activeCell="L28" sqref="L28"/>
    </sheetView>
  </sheetViews>
  <sheetFormatPr defaultRowHeight="15.5"/>
  <cols>
    <col min="1" max="1" width="16.81640625" style="232" bestFit="1" customWidth="1"/>
    <col min="2" max="2" width="8.36328125" style="246" customWidth="1"/>
    <col min="3" max="3" width="9.6328125" style="246" customWidth="1"/>
    <col min="4" max="4" width="8.7265625" style="246"/>
    <col min="5" max="7" width="15.36328125" style="246" customWidth="1"/>
    <col min="8" max="8" width="8.7265625" style="246"/>
    <col min="9" max="9" width="15.81640625" style="246" customWidth="1"/>
    <col min="10" max="14" width="8.7265625" style="246"/>
    <col min="15" max="15" width="7.7265625" style="246" customWidth="1"/>
    <col min="16" max="19" width="8.7265625" style="246"/>
    <col min="20" max="16384" width="8.7265625" style="232"/>
  </cols>
  <sheetData>
    <row r="1" spans="1:21" ht="30" customHeight="1" thickBot="1">
      <c r="A1" s="247" t="s">
        <v>235</v>
      </c>
      <c r="B1" s="236"/>
      <c r="C1" s="236"/>
      <c r="D1" s="236"/>
      <c r="E1" s="236"/>
      <c r="F1" s="236"/>
      <c r="G1" s="236"/>
      <c r="H1" s="236"/>
      <c r="I1" s="236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81"/>
      <c r="U1" s="282"/>
    </row>
    <row r="2" spans="1:21" ht="40.5" customHeight="1">
      <c r="A2" s="283" t="s">
        <v>198</v>
      </c>
      <c r="B2" s="284" t="s">
        <v>236</v>
      </c>
      <c r="C2" s="284" t="s">
        <v>237</v>
      </c>
      <c r="D2" s="284" t="s">
        <v>238</v>
      </c>
      <c r="E2" s="284" t="s">
        <v>118</v>
      </c>
      <c r="F2" s="284" t="s">
        <v>249</v>
      </c>
      <c r="G2" s="284" t="s">
        <v>250</v>
      </c>
      <c r="H2" s="284" t="s">
        <v>119</v>
      </c>
      <c r="I2" s="284" t="s">
        <v>243</v>
      </c>
      <c r="J2" s="284" t="s">
        <v>99</v>
      </c>
      <c r="K2" s="284" t="s">
        <v>239</v>
      </c>
      <c r="L2" s="284" t="s">
        <v>100</v>
      </c>
      <c r="M2" s="284" t="s">
        <v>101</v>
      </c>
      <c r="N2" s="284" t="s">
        <v>102</v>
      </c>
      <c r="O2" s="284" t="s">
        <v>103</v>
      </c>
      <c r="P2" s="284" t="s">
        <v>104</v>
      </c>
      <c r="Q2" s="284" t="s">
        <v>105</v>
      </c>
      <c r="R2" s="284" t="s">
        <v>106</v>
      </c>
      <c r="S2" s="284" t="s">
        <v>107</v>
      </c>
      <c r="T2" s="284" t="s">
        <v>108</v>
      </c>
      <c r="U2" s="285" t="s">
        <v>109</v>
      </c>
    </row>
    <row r="3" spans="1:21">
      <c r="A3" s="66"/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74"/>
      <c r="U3" s="276"/>
    </row>
    <row r="4" spans="1:21">
      <c r="A4" s="62"/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74"/>
      <c r="U4" s="276"/>
    </row>
    <row r="5" spans="1:21">
      <c r="A5" s="275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1"/>
      <c r="R5" s="241"/>
      <c r="S5" s="241"/>
      <c r="T5" s="274"/>
      <c r="U5" s="276"/>
    </row>
    <row r="6" spans="1:21">
      <c r="A6" s="235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74"/>
      <c r="U6" s="276"/>
    </row>
    <row r="7" spans="1:21">
      <c r="A7" s="235"/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74"/>
      <c r="U7" s="276"/>
    </row>
    <row r="8" spans="1:21">
      <c r="A8" s="235"/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74"/>
      <c r="U8" s="276"/>
    </row>
    <row r="9" spans="1:21">
      <c r="A9" s="235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74"/>
      <c r="U9" s="276"/>
    </row>
    <row r="10" spans="1:21">
      <c r="A10" s="235"/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74"/>
      <c r="U10" s="276"/>
    </row>
    <row r="11" spans="1:21">
      <c r="A11" s="235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74"/>
      <c r="U11" s="276"/>
    </row>
    <row r="12" spans="1:21">
      <c r="A12" s="235"/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  <c r="O12" s="241"/>
      <c r="P12" s="241"/>
      <c r="Q12" s="241"/>
      <c r="R12" s="241"/>
      <c r="S12" s="241"/>
      <c r="T12" s="274"/>
      <c r="U12" s="276"/>
    </row>
    <row r="13" spans="1:21">
      <c r="A13" s="235"/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41"/>
      <c r="S13" s="241"/>
      <c r="T13" s="274"/>
      <c r="U13" s="276"/>
    </row>
    <row r="14" spans="1:21">
      <c r="A14" s="235"/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  <c r="O14" s="241"/>
      <c r="P14" s="241"/>
      <c r="Q14" s="241"/>
      <c r="R14" s="241"/>
      <c r="S14" s="241"/>
      <c r="T14" s="274"/>
      <c r="U14" s="276"/>
    </row>
    <row r="15" spans="1:21">
      <c r="A15" s="235"/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1"/>
      <c r="R15" s="241"/>
      <c r="S15" s="241"/>
      <c r="T15" s="274"/>
      <c r="U15" s="276"/>
    </row>
    <row r="16" spans="1:21">
      <c r="A16" s="235"/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1"/>
      <c r="R16" s="241"/>
      <c r="S16" s="241"/>
      <c r="T16" s="274"/>
      <c r="U16" s="276"/>
    </row>
    <row r="17" spans="1:21">
      <c r="A17" s="235"/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74"/>
      <c r="U17" s="276"/>
    </row>
    <row r="18" spans="1:21">
      <c r="A18" s="235"/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41"/>
      <c r="T18" s="274"/>
      <c r="U18" s="276"/>
    </row>
    <row r="19" spans="1:21">
      <c r="A19" s="235"/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41"/>
      <c r="S19" s="241"/>
      <c r="T19" s="274"/>
      <c r="U19" s="276"/>
    </row>
    <row r="20" spans="1:21">
      <c r="A20" s="235"/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74"/>
      <c r="U20" s="276"/>
    </row>
    <row r="21" spans="1:21">
      <c r="A21" s="235"/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74"/>
      <c r="U21" s="276"/>
    </row>
    <row r="22" spans="1:21">
      <c r="A22" s="235"/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74"/>
      <c r="U22" s="276"/>
    </row>
    <row r="23" spans="1:21">
      <c r="A23" s="235"/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74"/>
      <c r="U23" s="276"/>
    </row>
    <row r="24" spans="1:21">
      <c r="A24" s="235"/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  <c r="O24" s="241"/>
      <c r="P24" s="241"/>
      <c r="Q24" s="241"/>
      <c r="R24" s="241"/>
      <c r="S24" s="241"/>
      <c r="T24" s="274"/>
      <c r="U24" s="276"/>
    </row>
    <row r="25" spans="1:21">
      <c r="A25" s="235"/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1"/>
      <c r="R25" s="241"/>
      <c r="S25" s="241"/>
      <c r="T25" s="274"/>
      <c r="U25" s="276"/>
    </row>
    <row r="26" spans="1:21">
      <c r="A26" s="235"/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  <c r="O26" s="241"/>
      <c r="P26" s="241"/>
      <c r="Q26" s="241"/>
      <c r="R26" s="241"/>
      <c r="S26" s="241"/>
      <c r="T26" s="274"/>
      <c r="U26" s="276"/>
    </row>
    <row r="27" spans="1:21">
      <c r="A27" s="235"/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  <c r="O27" s="241"/>
      <c r="P27" s="241"/>
      <c r="Q27" s="241"/>
      <c r="R27" s="241"/>
      <c r="S27" s="241"/>
      <c r="T27" s="274"/>
      <c r="U27" s="276"/>
    </row>
    <row r="28" spans="1:21">
      <c r="A28" s="235"/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  <c r="O28" s="241"/>
      <c r="P28" s="241"/>
      <c r="Q28" s="241"/>
      <c r="R28" s="241"/>
      <c r="S28" s="241"/>
      <c r="T28" s="274"/>
      <c r="U28" s="276"/>
    </row>
    <row r="29" spans="1:21">
      <c r="A29" s="235"/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  <c r="O29" s="241"/>
      <c r="P29" s="241"/>
      <c r="Q29" s="241"/>
      <c r="R29" s="241"/>
      <c r="S29" s="241"/>
      <c r="T29" s="274"/>
      <c r="U29" s="276"/>
    </row>
    <row r="30" spans="1:21">
      <c r="A30" s="235"/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1"/>
      <c r="R30" s="241"/>
      <c r="S30" s="241"/>
      <c r="T30" s="274"/>
      <c r="U30" s="276"/>
    </row>
    <row r="31" spans="1:21">
      <c r="A31" s="235"/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41"/>
      <c r="S31" s="241"/>
      <c r="T31" s="274"/>
      <c r="U31" s="276"/>
    </row>
    <row r="32" spans="1:21">
      <c r="A32" s="235"/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1"/>
      <c r="R32" s="241"/>
      <c r="S32" s="241"/>
      <c r="T32" s="274"/>
      <c r="U32" s="276"/>
    </row>
    <row r="33" spans="1:21">
      <c r="A33" s="235"/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1"/>
      <c r="R33" s="241"/>
      <c r="S33" s="241"/>
      <c r="T33" s="274"/>
      <c r="U33" s="276"/>
    </row>
    <row r="34" spans="1:21">
      <c r="A34" s="235"/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1"/>
      <c r="R34" s="241"/>
      <c r="S34" s="241"/>
      <c r="T34" s="274"/>
      <c r="U34" s="276"/>
    </row>
    <row r="35" spans="1:21">
      <c r="A35" s="235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41"/>
      <c r="S35" s="241"/>
      <c r="T35" s="274"/>
      <c r="U35" s="276"/>
    </row>
    <row r="36" spans="1:21">
      <c r="A36" s="235"/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1"/>
      <c r="R36" s="241"/>
      <c r="S36" s="241"/>
      <c r="T36" s="274"/>
      <c r="U36" s="276"/>
    </row>
    <row r="37" spans="1:21">
      <c r="A37" s="235"/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41"/>
      <c r="S37" s="241"/>
      <c r="T37" s="274"/>
      <c r="U37" s="276"/>
    </row>
    <row r="38" spans="1:21">
      <c r="A38" s="235"/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1"/>
      <c r="R38" s="241"/>
      <c r="S38" s="241"/>
      <c r="T38" s="274"/>
      <c r="U38" s="276"/>
    </row>
    <row r="39" spans="1:21">
      <c r="A39" s="235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1"/>
      <c r="P39" s="241"/>
      <c r="Q39" s="241"/>
      <c r="R39" s="241"/>
      <c r="S39" s="241"/>
      <c r="T39" s="274"/>
      <c r="U39" s="276"/>
    </row>
    <row r="40" spans="1:21">
      <c r="A40" s="235"/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41"/>
      <c r="S40" s="241"/>
      <c r="T40" s="274"/>
      <c r="U40" s="276"/>
    </row>
    <row r="41" spans="1:21">
      <c r="A41" s="235"/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1"/>
      <c r="R41" s="241"/>
      <c r="S41" s="241"/>
      <c r="T41" s="274"/>
      <c r="U41" s="276"/>
    </row>
    <row r="42" spans="1:21">
      <c r="A42" s="235"/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1"/>
      <c r="R42" s="241"/>
      <c r="S42" s="241"/>
      <c r="T42" s="274"/>
      <c r="U42" s="276"/>
    </row>
    <row r="43" spans="1:21">
      <c r="A43" s="235"/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41"/>
      <c r="S43" s="241"/>
      <c r="T43" s="274"/>
      <c r="U43" s="276"/>
    </row>
    <row r="44" spans="1:21">
      <c r="A44" s="235"/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74"/>
      <c r="U44" s="276"/>
    </row>
    <row r="45" spans="1:21">
      <c r="A45" s="235"/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41"/>
      <c r="S45" s="241"/>
      <c r="T45" s="274"/>
      <c r="U45" s="276"/>
    </row>
    <row r="46" spans="1:21">
      <c r="A46" s="235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74"/>
      <c r="U46" s="276"/>
    </row>
    <row r="47" spans="1:21">
      <c r="A47" s="235"/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41"/>
      <c r="S47" s="241"/>
      <c r="T47" s="274"/>
      <c r="U47" s="276"/>
    </row>
    <row r="48" spans="1:21">
      <c r="A48" s="235"/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41"/>
      <c r="S48" s="241"/>
      <c r="T48" s="274"/>
      <c r="U48" s="276"/>
    </row>
    <row r="49" spans="1:21">
      <c r="A49" s="235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41"/>
      <c r="S49" s="241"/>
      <c r="T49" s="274"/>
      <c r="U49" s="276"/>
    </row>
    <row r="50" spans="1:21">
      <c r="A50" s="235"/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74"/>
      <c r="U50" s="276"/>
    </row>
    <row r="51" spans="1:21">
      <c r="A51" s="235"/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1"/>
      <c r="S51" s="241"/>
      <c r="T51" s="274"/>
      <c r="U51" s="276"/>
    </row>
    <row r="52" spans="1:21">
      <c r="A52" s="235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74"/>
      <c r="U52" s="276"/>
    </row>
    <row r="53" spans="1:21">
      <c r="A53" s="235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74"/>
      <c r="U53" s="276"/>
    </row>
    <row r="54" spans="1:21">
      <c r="A54" s="235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74"/>
      <c r="U54" s="276"/>
    </row>
    <row r="55" spans="1:21">
      <c r="A55" s="235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74"/>
      <c r="U55" s="276"/>
    </row>
    <row r="56" spans="1:21">
      <c r="A56" s="235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74"/>
      <c r="U56" s="276"/>
    </row>
    <row r="57" spans="1:21">
      <c r="A57" s="235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1"/>
      <c r="R57" s="241"/>
      <c r="S57" s="241"/>
      <c r="T57" s="274"/>
      <c r="U57" s="276"/>
    </row>
    <row r="58" spans="1:21">
      <c r="A58" s="235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74"/>
      <c r="U58" s="276"/>
    </row>
    <row r="59" spans="1:21">
      <c r="A59" s="235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74"/>
      <c r="U59" s="276"/>
    </row>
    <row r="60" spans="1:21">
      <c r="A60" s="235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74"/>
      <c r="U60" s="276"/>
    </row>
    <row r="61" spans="1:21">
      <c r="A61" s="235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74"/>
      <c r="U61" s="276"/>
    </row>
    <row r="62" spans="1:21">
      <c r="A62" s="235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274"/>
      <c r="U62" s="276"/>
    </row>
    <row r="63" spans="1:21">
      <c r="A63" s="235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74"/>
      <c r="U63" s="276"/>
    </row>
    <row r="64" spans="1:21">
      <c r="A64" s="235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74"/>
      <c r="U64" s="276"/>
    </row>
    <row r="65" spans="1:21">
      <c r="A65" s="235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41"/>
      <c r="S65" s="241"/>
      <c r="T65" s="274"/>
      <c r="U65" s="276"/>
    </row>
    <row r="66" spans="1:21">
      <c r="A66" s="235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74"/>
      <c r="U66" s="276"/>
    </row>
    <row r="67" spans="1:21">
      <c r="A67" s="235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274"/>
      <c r="U67" s="276"/>
    </row>
    <row r="68" spans="1:21">
      <c r="A68" s="235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274"/>
      <c r="U68" s="276"/>
    </row>
    <row r="69" spans="1:21">
      <c r="A69" s="235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41"/>
      <c r="S69" s="241"/>
      <c r="T69" s="274"/>
      <c r="U69" s="276"/>
    </row>
    <row r="70" spans="1:21">
      <c r="A70" s="235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41"/>
      <c r="S70" s="241"/>
      <c r="T70" s="274"/>
      <c r="U70" s="276"/>
    </row>
    <row r="71" spans="1:21">
      <c r="A71" s="235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41"/>
      <c r="S71" s="241"/>
      <c r="T71" s="274"/>
      <c r="U71" s="276"/>
    </row>
    <row r="72" spans="1:21">
      <c r="A72" s="235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41"/>
      <c r="S72" s="241"/>
      <c r="T72" s="274"/>
      <c r="U72" s="276"/>
    </row>
    <row r="73" spans="1:21">
      <c r="A73" s="235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41"/>
      <c r="S73" s="241"/>
      <c r="T73" s="274"/>
      <c r="U73" s="276"/>
    </row>
    <row r="74" spans="1:21">
      <c r="A74" s="235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41"/>
      <c r="S74" s="241"/>
      <c r="T74" s="274"/>
      <c r="U74" s="276"/>
    </row>
    <row r="75" spans="1:21">
      <c r="A75" s="235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1"/>
      <c r="R75" s="241"/>
      <c r="S75" s="241"/>
      <c r="T75" s="274"/>
      <c r="U75" s="276"/>
    </row>
    <row r="76" spans="1:21">
      <c r="A76" s="235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41"/>
      <c r="S76" s="241"/>
      <c r="T76" s="274"/>
      <c r="U76" s="276"/>
    </row>
    <row r="77" spans="1:21">
      <c r="A77" s="235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1"/>
      <c r="R77" s="241"/>
      <c r="S77" s="241"/>
      <c r="T77" s="274"/>
      <c r="U77" s="276"/>
    </row>
    <row r="78" spans="1:21">
      <c r="A78" s="235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1"/>
      <c r="R78" s="241"/>
      <c r="S78" s="241"/>
      <c r="T78" s="274"/>
      <c r="U78" s="276"/>
    </row>
    <row r="79" spans="1:21">
      <c r="A79" s="235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1"/>
      <c r="R79" s="241"/>
      <c r="S79" s="241"/>
      <c r="T79" s="274"/>
      <c r="U79" s="276"/>
    </row>
    <row r="80" spans="1:21">
      <c r="A80" s="235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41"/>
      <c r="S80" s="241"/>
      <c r="T80" s="274"/>
      <c r="U80" s="276"/>
    </row>
    <row r="81" spans="1:21">
      <c r="A81" s="235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74"/>
      <c r="U81" s="276"/>
    </row>
    <row r="82" spans="1:21">
      <c r="A82" s="235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1"/>
      <c r="R82" s="241"/>
      <c r="S82" s="241"/>
      <c r="T82" s="274"/>
      <c r="U82" s="276"/>
    </row>
    <row r="83" spans="1:21">
      <c r="A83" s="235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1"/>
      <c r="R83" s="241"/>
      <c r="S83" s="241"/>
      <c r="T83" s="274"/>
      <c r="U83" s="276"/>
    </row>
    <row r="84" spans="1:21">
      <c r="A84" s="235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41"/>
      <c r="S84" s="241"/>
      <c r="T84" s="274"/>
      <c r="U84" s="276"/>
    </row>
    <row r="85" spans="1:21">
      <c r="A85" s="235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41"/>
      <c r="S85" s="241"/>
      <c r="T85" s="274"/>
      <c r="U85" s="276"/>
    </row>
    <row r="86" spans="1:21">
      <c r="A86" s="235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1"/>
      <c r="R86" s="241"/>
      <c r="S86" s="241"/>
      <c r="T86" s="274"/>
      <c r="U86" s="276"/>
    </row>
    <row r="87" spans="1:21">
      <c r="A87" s="235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1"/>
      <c r="R87" s="241"/>
      <c r="S87" s="241"/>
      <c r="T87" s="274"/>
      <c r="U87" s="276"/>
    </row>
    <row r="88" spans="1:21">
      <c r="A88" s="2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1"/>
      <c r="R88" s="241"/>
      <c r="S88" s="241"/>
      <c r="T88" s="274"/>
      <c r="U88" s="276"/>
    </row>
    <row r="89" spans="1:21">
      <c r="A89" s="235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1"/>
      <c r="R89" s="241"/>
      <c r="S89" s="241"/>
      <c r="T89" s="274"/>
      <c r="U89" s="276"/>
    </row>
    <row r="90" spans="1:21">
      <c r="A90" s="235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1"/>
      <c r="R90" s="241"/>
      <c r="S90" s="241"/>
      <c r="T90" s="274"/>
      <c r="U90" s="276"/>
    </row>
    <row r="91" spans="1:21">
      <c r="A91" s="235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74"/>
      <c r="U91" s="276"/>
    </row>
    <row r="92" spans="1:21">
      <c r="A92" s="235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1"/>
      <c r="R92" s="241"/>
      <c r="S92" s="241"/>
      <c r="T92" s="274"/>
      <c r="U92" s="276"/>
    </row>
    <row r="93" spans="1:21">
      <c r="A93" s="235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1"/>
      <c r="R93" s="241"/>
      <c r="S93" s="241"/>
      <c r="T93" s="274"/>
      <c r="U93" s="276"/>
    </row>
    <row r="94" spans="1:21">
      <c r="A94" s="235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1"/>
      <c r="R94" s="241"/>
      <c r="S94" s="241"/>
      <c r="T94" s="274"/>
      <c r="U94" s="276"/>
    </row>
    <row r="95" spans="1:21">
      <c r="A95" s="235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1"/>
      <c r="R95" s="241"/>
      <c r="S95" s="241"/>
      <c r="T95" s="274"/>
      <c r="U95" s="276"/>
    </row>
    <row r="96" spans="1:21">
      <c r="A96" s="235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1"/>
      <c r="R96" s="241"/>
      <c r="S96" s="241"/>
      <c r="T96" s="274"/>
      <c r="U96" s="276"/>
    </row>
    <row r="97" spans="1:21">
      <c r="A97" s="235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41"/>
      <c r="S97" s="241"/>
      <c r="T97" s="274"/>
      <c r="U97" s="276"/>
    </row>
    <row r="98" spans="1:21">
      <c r="A98" s="235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41"/>
      <c r="S98" s="241"/>
      <c r="T98" s="274"/>
      <c r="U98" s="276"/>
    </row>
    <row r="99" spans="1:21">
      <c r="A99" s="235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1"/>
      <c r="R99" s="241"/>
      <c r="S99" s="241"/>
      <c r="T99" s="274"/>
      <c r="U99" s="276"/>
    </row>
    <row r="100" spans="1:21">
      <c r="A100" s="235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1"/>
      <c r="R100" s="241"/>
      <c r="S100" s="241"/>
      <c r="T100" s="274"/>
      <c r="U100" s="276"/>
    </row>
    <row r="101" spans="1:21">
      <c r="A101" s="235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1"/>
      <c r="R101" s="241"/>
      <c r="S101" s="241"/>
      <c r="T101" s="274"/>
      <c r="U101" s="276"/>
    </row>
    <row r="102" spans="1:21">
      <c r="A102" s="235"/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  <c r="O102" s="241"/>
      <c r="P102" s="241"/>
      <c r="Q102" s="241"/>
      <c r="R102" s="241"/>
      <c r="S102" s="241"/>
      <c r="T102" s="274"/>
      <c r="U102" s="276"/>
    </row>
    <row r="103" spans="1:21">
      <c r="A103" s="235"/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  <c r="O103" s="241"/>
      <c r="P103" s="241"/>
      <c r="Q103" s="241"/>
      <c r="R103" s="241"/>
      <c r="S103" s="241"/>
      <c r="T103" s="274"/>
      <c r="U103" s="276"/>
    </row>
    <row r="104" spans="1:21">
      <c r="A104" s="235"/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1"/>
      <c r="R104" s="241"/>
      <c r="S104" s="241"/>
      <c r="T104" s="274"/>
      <c r="U104" s="276"/>
    </row>
    <row r="105" spans="1:21">
      <c r="A105" s="235"/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Q105" s="241"/>
      <c r="R105" s="241"/>
      <c r="S105" s="241"/>
      <c r="T105" s="274"/>
      <c r="U105" s="276"/>
    </row>
    <row r="106" spans="1:21">
      <c r="A106" s="235"/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1"/>
      <c r="R106" s="241"/>
      <c r="S106" s="241"/>
      <c r="T106" s="274"/>
      <c r="U106" s="276"/>
    </row>
    <row r="107" spans="1:21">
      <c r="A107" s="235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1"/>
      <c r="R107" s="241"/>
      <c r="S107" s="241"/>
      <c r="T107" s="274"/>
      <c r="U107" s="276"/>
    </row>
    <row r="108" spans="1:21">
      <c r="A108" s="235"/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  <c r="O108" s="241"/>
      <c r="P108" s="241"/>
      <c r="Q108" s="241"/>
      <c r="R108" s="241"/>
      <c r="S108" s="241"/>
      <c r="T108" s="274"/>
      <c r="U108" s="276"/>
    </row>
    <row r="109" spans="1:21">
      <c r="A109" s="235"/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  <c r="O109" s="241"/>
      <c r="P109" s="241"/>
      <c r="Q109" s="241"/>
      <c r="R109" s="241"/>
      <c r="S109" s="241"/>
      <c r="T109" s="274"/>
      <c r="U109" s="276"/>
    </row>
    <row r="110" spans="1:21">
      <c r="A110" s="235"/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  <c r="O110" s="241"/>
      <c r="P110" s="241"/>
      <c r="Q110" s="241"/>
      <c r="R110" s="241"/>
      <c r="S110" s="241"/>
      <c r="T110" s="274"/>
      <c r="U110" s="276"/>
    </row>
    <row r="111" spans="1:21">
      <c r="A111" s="235"/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  <c r="O111" s="241"/>
      <c r="P111" s="241"/>
      <c r="Q111" s="241"/>
      <c r="R111" s="241"/>
      <c r="S111" s="241"/>
      <c r="T111" s="274"/>
      <c r="U111" s="276"/>
    </row>
    <row r="112" spans="1:21">
      <c r="A112" s="235"/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  <c r="O112" s="241"/>
      <c r="P112" s="241"/>
      <c r="Q112" s="241"/>
      <c r="R112" s="241"/>
      <c r="S112" s="241"/>
      <c r="T112" s="274"/>
      <c r="U112" s="276"/>
    </row>
    <row r="113" spans="1:21">
      <c r="A113" s="235"/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  <c r="O113" s="241"/>
      <c r="P113" s="241"/>
      <c r="Q113" s="241"/>
      <c r="R113" s="241"/>
      <c r="S113" s="241"/>
      <c r="T113" s="274"/>
      <c r="U113" s="276"/>
    </row>
    <row r="114" spans="1:21">
      <c r="A114" s="235"/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  <c r="O114" s="241"/>
      <c r="P114" s="241"/>
      <c r="Q114" s="241"/>
      <c r="R114" s="241"/>
      <c r="S114" s="241"/>
      <c r="T114" s="274"/>
      <c r="U114" s="276"/>
    </row>
    <row r="115" spans="1:21">
      <c r="A115" s="235"/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  <c r="O115" s="241"/>
      <c r="P115" s="241"/>
      <c r="Q115" s="241"/>
      <c r="R115" s="241"/>
      <c r="S115" s="241"/>
      <c r="T115" s="274"/>
      <c r="U115" s="276"/>
    </row>
    <row r="116" spans="1:21">
      <c r="A116" s="235"/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  <c r="O116" s="241"/>
      <c r="P116" s="241"/>
      <c r="Q116" s="241"/>
      <c r="R116" s="241"/>
      <c r="S116" s="241"/>
      <c r="T116" s="274"/>
      <c r="U116" s="276"/>
    </row>
    <row r="117" spans="1:21">
      <c r="A117" s="2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  <c r="O117" s="241"/>
      <c r="P117" s="241"/>
      <c r="Q117" s="241"/>
      <c r="R117" s="241"/>
      <c r="S117" s="241"/>
      <c r="T117" s="274"/>
      <c r="U117" s="276"/>
    </row>
    <row r="118" spans="1:21">
      <c r="A118" s="235"/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  <c r="O118" s="241"/>
      <c r="P118" s="241"/>
      <c r="Q118" s="241"/>
      <c r="R118" s="241"/>
      <c r="S118" s="241"/>
      <c r="T118" s="274"/>
      <c r="U118" s="276"/>
    </row>
    <row r="119" spans="1:21">
      <c r="A119" s="235"/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  <c r="O119" s="241"/>
      <c r="P119" s="241"/>
      <c r="Q119" s="241"/>
      <c r="R119" s="241"/>
      <c r="S119" s="241"/>
      <c r="T119" s="274"/>
      <c r="U119" s="276"/>
    </row>
    <row r="120" spans="1:21">
      <c r="A120" s="235"/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  <c r="O120" s="241"/>
      <c r="P120" s="241"/>
      <c r="Q120" s="241"/>
      <c r="R120" s="241"/>
      <c r="S120" s="241"/>
      <c r="T120" s="274"/>
      <c r="U120" s="276"/>
    </row>
    <row r="121" spans="1:21">
      <c r="A121" s="235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1"/>
      <c r="P121" s="241"/>
      <c r="Q121" s="241"/>
      <c r="R121" s="241"/>
      <c r="S121" s="241"/>
      <c r="T121" s="274"/>
      <c r="U121" s="276"/>
    </row>
    <row r="122" spans="1:21">
      <c r="A122" s="235"/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  <c r="O122" s="241"/>
      <c r="P122" s="241"/>
      <c r="Q122" s="241"/>
      <c r="R122" s="241"/>
      <c r="S122" s="241"/>
      <c r="T122" s="274"/>
      <c r="U122" s="276"/>
    </row>
    <row r="123" spans="1:21">
      <c r="A123" s="235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  <c r="O123" s="241"/>
      <c r="P123" s="241"/>
      <c r="Q123" s="241"/>
      <c r="R123" s="241"/>
      <c r="S123" s="241"/>
      <c r="T123" s="274"/>
      <c r="U123" s="276"/>
    </row>
    <row r="124" spans="1:21">
      <c r="A124" s="235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241"/>
      <c r="Q124" s="241"/>
      <c r="R124" s="241"/>
      <c r="S124" s="241"/>
      <c r="T124" s="274"/>
      <c r="U124" s="276"/>
    </row>
    <row r="125" spans="1:21">
      <c r="A125" s="235"/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  <c r="O125" s="241"/>
      <c r="P125" s="241"/>
      <c r="Q125" s="241"/>
      <c r="R125" s="241"/>
      <c r="S125" s="241"/>
      <c r="T125" s="274"/>
      <c r="U125" s="276"/>
    </row>
    <row r="126" spans="1:21">
      <c r="A126" s="235"/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  <c r="O126" s="241"/>
      <c r="P126" s="241"/>
      <c r="Q126" s="241"/>
      <c r="R126" s="241"/>
      <c r="S126" s="241"/>
      <c r="T126" s="274"/>
      <c r="U126" s="276"/>
    </row>
    <row r="127" spans="1:21">
      <c r="A127" s="235"/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241"/>
      <c r="Q127" s="241"/>
      <c r="R127" s="241"/>
      <c r="S127" s="241"/>
      <c r="T127" s="274"/>
      <c r="U127" s="276"/>
    </row>
    <row r="128" spans="1:21">
      <c r="A128" s="235"/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  <c r="O128" s="241"/>
      <c r="P128" s="241"/>
      <c r="Q128" s="241"/>
      <c r="R128" s="241"/>
      <c r="S128" s="241"/>
      <c r="T128" s="274"/>
      <c r="U128" s="276"/>
    </row>
    <row r="129" spans="1:21">
      <c r="A129" s="235"/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  <c r="O129" s="241"/>
      <c r="P129" s="241"/>
      <c r="Q129" s="241"/>
      <c r="R129" s="241"/>
      <c r="S129" s="241"/>
      <c r="T129" s="274"/>
      <c r="U129" s="276"/>
    </row>
    <row r="130" spans="1:21">
      <c r="A130" s="235"/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  <c r="O130" s="241"/>
      <c r="P130" s="241"/>
      <c r="Q130" s="241"/>
      <c r="R130" s="241"/>
      <c r="S130" s="241"/>
      <c r="T130" s="274"/>
      <c r="U130" s="276"/>
    </row>
    <row r="131" spans="1:21">
      <c r="A131" s="235"/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  <c r="O131" s="241"/>
      <c r="P131" s="241"/>
      <c r="Q131" s="241"/>
      <c r="R131" s="241"/>
      <c r="S131" s="241"/>
      <c r="T131" s="274"/>
      <c r="U131" s="276"/>
    </row>
    <row r="132" spans="1:21">
      <c r="A132" s="235"/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241"/>
      <c r="Q132" s="241"/>
      <c r="R132" s="241"/>
      <c r="S132" s="241"/>
      <c r="T132" s="274"/>
      <c r="U132" s="276"/>
    </row>
    <row r="133" spans="1:21">
      <c r="A133" s="235"/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  <c r="O133" s="241"/>
      <c r="P133" s="241"/>
      <c r="Q133" s="241"/>
      <c r="R133" s="241"/>
      <c r="S133" s="241"/>
      <c r="T133" s="274"/>
      <c r="U133" s="276"/>
    </row>
    <row r="134" spans="1:21">
      <c r="A134" s="235"/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  <c r="O134" s="241"/>
      <c r="P134" s="241"/>
      <c r="Q134" s="241"/>
      <c r="R134" s="241"/>
      <c r="S134" s="241"/>
      <c r="T134" s="274"/>
      <c r="U134" s="276"/>
    </row>
    <row r="135" spans="1:21">
      <c r="A135" s="235"/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241"/>
      <c r="Q135" s="241"/>
      <c r="R135" s="241"/>
      <c r="S135" s="241"/>
      <c r="T135" s="274"/>
      <c r="U135" s="276"/>
    </row>
    <row r="136" spans="1:21">
      <c r="A136" s="235"/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  <c r="O136" s="241"/>
      <c r="P136" s="241"/>
      <c r="Q136" s="241"/>
      <c r="R136" s="241"/>
      <c r="S136" s="241"/>
      <c r="T136" s="274"/>
      <c r="U136" s="276"/>
    </row>
    <row r="137" spans="1:21">
      <c r="A137" s="235"/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  <c r="O137" s="241"/>
      <c r="P137" s="241"/>
      <c r="Q137" s="241"/>
      <c r="R137" s="241"/>
      <c r="S137" s="241"/>
      <c r="T137" s="274"/>
      <c r="U137" s="276"/>
    </row>
    <row r="138" spans="1:21">
      <c r="A138" s="235"/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  <c r="P138" s="241"/>
      <c r="Q138" s="241"/>
      <c r="R138" s="241"/>
      <c r="S138" s="241"/>
      <c r="T138" s="274"/>
      <c r="U138" s="276"/>
    </row>
    <row r="139" spans="1:21">
      <c r="A139" s="235"/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  <c r="P139" s="241"/>
      <c r="Q139" s="241"/>
      <c r="R139" s="241"/>
      <c r="S139" s="241"/>
      <c r="T139" s="274"/>
      <c r="U139" s="276"/>
    </row>
    <row r="140" spans="1:21">
      <c r="A140" s="235"/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1"/>
      <c r="R140" s="241"/>
      <c r="S140" s="241"/>
      <c r="T140" s="274"/>
      <c r="U140" s="276"/>
    </row>
    <row r="141" spans="1:21">
      <c r="A141" s="235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  <c r="O141" s="241"/>
      <c r="P141" s="241"/>
      <c r="Q141" s="241"/>
      <c r="R141" s="241"/>
      <c r="S141" s="241"/>
      <c r="T141" s="274"/>
      <c r="U141" s="276"/>
    </row>
    <row r="142" spans="1:21">
      <c r="A142" s="235"/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  <c r="O142" s="241"/>
      <c r="P142" s="241"/>
      <c r="Q142" s="241"/>
      <c r="R142" s="241"/>
      <c r="S142" s="241"/>
      <c r="T142" s="274"/>
      <c r="U142" s="276"/>
    </row>
    <row r="143" spans="1:21">
      <c r="A143" s="235"/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  <c r="O143" s="241"/>
      <c r="P143" s="241"/>
      <c r="Q143" s="241"/>
      <c r="R143" s="241"/>
      <c r="S143" s="241"/>
      <c r="T143" s="274"/>
      <c r="U143" s="276"/>
    </row>
    <row r="144" spans="1:21">
      <c r="A144" s="235"/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  <c r="O144" s="241"/>
      <c r="P144" s="241"/>
      <c r="Q144" s="241"/>
      <c r="R144" s="241"/>
      <c r="S144" s="241"/>
      <c r="T144" s="274"/>
      <c r="U144" s="276"/>
    </row>
    <row r="145" spans="1:21">
      <c r="A145" s="235"/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  <c r="O145" s="241"/>
      <c r="P145" s="241"/>
      <c r="Q145" s="241"/>
      <c r="R145" s="241"/>
      <c r="S145" s="241"/>
      <c r="T145" s="274"/>
      <c r="U145" s="276"/>
    </row>
    <row r="146" spans="1:21">
      <c r="A146" s="235"/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  <c r="O146" s="241"/>
      <c r="P146" s="241"/>
      <c r="Q146" s="241"/>
      <c r="R146" s="241"/>
      <c r="S146" s="241"/>
      <c r="T146" s="274"/>
      <c r="U146" s="276"/>
    </row>
    <row r="147" spans="1:21">
      <c r="A147" s="235"/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  <c r="O147" s="241"/>
      <c r="P147" s="241"/>
      <c r="Q147" s="241"/>
      <c r="R147" s="241"/>
      <c r="S147" s="241"/>
      <c r="T147" s="274"/>
      <c r="U147" s="276"/>
    </row>
    <row r="148" spans="1:21">
      <c r="A148" s="235"/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1"/>
      <c r="P148" s="241"/>
      <c r="Q148" s="241"/>
      <c r="R148" s="241"/>
      <c r="S148" s="241"/>
      <c r="T148" s="274"/>
      <c r="U148" s="276"/>
    </row>
    <row r="149" spans="1:21">
      <c r="A149" s="235"/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  <c r="O149" s="241"/>
      <c r="P149" s="241"/>
      <c r="Q149" s="241"/>
      <c r="R149" s="241"/>
      <c r="S149" s="241"/>
      <c r="T149" s="274"/>
      <c r="U149" s="276"/>
    </row>
    <row r="150" spans="1:21">
      <c r="A150" s="235"/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  <c r="O150" s="241"/>
      <c r="P150" s="241"/>
      <c r="Q150" s="241"/>
      <c r="R150" s="241"/>
      <c r="S150" s="241"/>
      <c r="T150" s="274"/>
      <c r="U150" s="276"/>
    </row>
    <row r="151" spans="1:21">
      <c r="A151" s="235"/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  <c r="O151" s="241"/>
      <c r="P151" s="241"/>
      <c r="Q151" s="241"/>
      <c r="R151" s="241"/>
      <c r="S151" s="241"/>
      <c r="T151" s="274"/>
      <c r="U151" s="276"/>
    </row>
    <row r="152" spans="1:21">
      <c r="A152" s="235"/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1"/>
      <c r="R152" s="241"/>
      <c r="S152" s="241"/>
      <c r="T152" s="274"/>
      <c r="U152" s="276"/>
    </row>
    <row r="153" spans="1:21">
      <c r="A153" s="235"/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  <c r="O153" s="241"/>
      <c r="P153" s="241"/>
      <c r="Q153" s="241"/>
      <c r="R153" s="241"/>
      <c r="S153" s="241"/>
      <c r="T153" s="274"/>
      <c r="U153" s="276"/>
    </row>
    <row r="154" spans="1:21">
      <c r="A154" s="235"/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  <c r="O154" s="241"/>
      <c r="P154" s="241"/>
      <c r="Q154" s="241"/>
      <c r="R154" s="241"/>
      <c r="S154" s="241"/>
      <c r="T154" s="274"/>
      <c r="U154" s="276"/>
    </row>
    <row r="155" spans="1:21">
      <c r="A155" s="235"/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  <c r="O155" s="241"/>
      <c r="P155" s="241"/>
      <c r="Q155" s="241"/>
      <c r="R155" s="241"/>
      <c r="S155" s="241"/>
      <c r="T155" s="274"/>
      <c r="U155" s="276"/>
    </row>
    <row r="156" spans="1:21">
      <c r="A156" s="235"/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  <c r="O156" s="241"/>
      <c r="P156" s="241"/>
      <c r="Q156" s="241"/>
      <c r="R156" s="241"/>
      <c r="S156" s="241"/>
      <c r="T156" s="274"/>
      <c r="U156" s="276"/>
    </row>
    <row r="157" spans="1:21">
      <c r="A157" s="235"/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  <c r="O157" s="241"/>
      <c r="P157" s="241"/>
      <c r="Q157" s="241"/>
      <c r="R157" s="241"/>
      <c r="S157" s="241"/>
      <c r="T157" s="274"/>
      <c r="U157" s="276"/>
    </row>
    <row r="158" spans="1:21">
      <c r="A158" s="235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  <c r="O158" s="241"/>
      <c r="P158" s="241"/>
      <c r="Q158" s="241"/>
      <c r="R158" s="241"/>
      <c r="S158" s="241"/>
      <c r="T158" s="274"/>
      <c r="U158" s="276"/>
    </row>
    <row r="159" spans="1:21">
      <c r="A159" s="235"/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  <c r="O159" s="241"/>
      <c r="P159" s="241"/>
      <c r="Q159" s="241"/>
      <c r="R159" s="241"/>
      <c r="S159" s="241"/>
      <c r="T159" s="274"/>
      <c r="U159" s="276"/>
    </row>
    <row r="160" spans="1:21">
      <c r="A160" s="235"/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  <c r="O160" s="241"/>
      <c r="P160" s="241"/>
      <c r="Q160" s="241"/>
      <c r="R160" s="241"/>
      <c r="S160" s="241"/>
      <c r="T160" s="274"/>
      <c r="U160" s="276"/>
    </row>
    <row r="161" spans="1:21">
      <c r="A161" s="235"/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  <c r="O161" s="241"/>
      <c r="P161" s="241"/>
      <c r="Q161" s="241"/>
      <c r="R161" s="241"/>
      <c r="S161" s="241"/>
      <c r="T161" s="274"/>
      <c r="U161" s="276"/>
    </row>
    <row r="162" spans="1:21">
      <c r="A162" s="235"/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  <c r="O162" s="241"/>
      <c r="P162" s="241"/>
      <c r="Q162" s="241"/>
      <c r="R162" s="241"/>
      <c r="S162" s="241"/>
      <c r="T162" s="274"/>
      <c r="U162" s="276"/>
    </row>
    <row r="163" spans="1:21">
      <c r="A163" s="235"/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  <c r="O163" s="241"/>
      <c r="P163" s="241"/>
      <c r="Q163" s="241"/>
      <c r="R163" s="241"/>
      <c r="S163" s="241"/>
      <c r="T163" s="274"/>
      <c r="U163" s="276"/>
    </row>
    <row r="164" spans="1:21">
      <c r="A164" s="235"/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  <c r="O164" s="241"/>
      <c r="P164" s="241"/>
      <c r="Q164" s="241"/>
      <c r="R164" s="241"/>
      <c r="S164" s="241"/>
      <c r="T164" s="274"/>
      <c r="U164" s="276"/>
    </row>
    <row r="165" spans="1:21">
      <c r="A165" s="235"/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  <c r="O165" s="241"/>
      <c r="P165" s="241"/>
      <c r="Q165" s="241"/>
      <c r="R165" s="241"/>
      <c r="S165" s="241"/>
      <c r="T165" s="274"/>
      <c r="U165" s="276"/>
    </row>
    <row r="166" spans="1:21">
      <c r="A166" s="235"/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  <c r="O166" s="241"/>
      <c r="P166" s="241"/>
      <c r="Q166" s="241"/>
      <c r="R166" s="241"/>
      <c r="S166" s="241"/>
      <c r="T166" s="274"/>
      <c r="U166" s="276"/>
    </row>
    <row r="167" spans="1:21">
      <c r="A167" s="235"/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  <c r="O167" s="241"/>
      <c r="P167" s="241"/>
      <c r="Q167" s="241"/>
      <c r="R167" s="241"/>
      <c r="S167" s="241"/>
      <c r="T167" s="274"/>
      <c r="U167" s="276"/>
    </row>
    <row r="168" spans="1:21">
      <c r="A168" s="235"/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  <c r="O168" s="241"/>
      <c r="P168" s="241"/>
      <c r="Q168" s="241"/>
      <c r="R168" s="241"/>
      <c r="S168" s="241"/>
      <c r="T168" s="274"/>
      <c r="U168" s="276"/>
    </row>
    <row r="169" spans="1:21">
      <c r="A169" s="235"/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  <c r="O169" s="241"/>
      <c r="P169" s="241"/>
      <c r="Q169" s="241"/>
      <c r="R169" s="241"/>
      <c r="S169" s="241"/>
      <c r="T169" s="274"/>
      <c r="U169" s="276"/>
    </row>
    <row r="170" spans="1:21">
      <c r="A170" s="235"/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  <c r="O170" s="241"/>
      <c r="P170" s="241"/>
      <c r="Q170" s="241"/>
      <c r="R170" s="241"/>
      <c r="S170" s="241"/>
      <c r="T170" s="274"/>
      <c r="U170" s="276"/>
    </row>
    <row r="171" spans="1:21">
      <c r="A171" s="235"/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  <c r="O171" s="241"/>
      <c r="P171" s="241"/>
      <c r="Q171" s="241"/>
      <c r="R171" s="241"/>
      <c r="S171" s="241"/>
      <c r="T171" s="274"/>
      <c r="U171" s="276"/>
    </row>
    <row r="172" spans="1:21">
      <c r="A172" s="235"/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  <c r="O172" s="241"/>
      <c r="P172" s="241"/>
      <c r="Q172" s="241"/>
      <c r="R172" s="241"/>
      <c r="S172" s="241"/>
      <c r="T172" s="274"/>
      <c r="U172" s="276"/>
    </row>
    <row r="173" spans="1:21">
      <c r="A173" s="235"/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  <c r="O173" s="241"/>
      <c r="P173" s="241"/>
      <c r="Q173" s="241"/>
      <c r="R173" s="241"/>
      <c r="S173" s="241"/>
      <c r="T173" s="274"/>
      <c r="U173" s="276"/>
    </row>
    <row r="174" spans="1:21">
      <c r="A174" s="235"/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  <c r="O174" s="241"/>
      <c r="P174" s="241"/>
      <c r="Q174" s="241"/>
      <c r="R174" s="241"/>
      <c r="S174" s="241"/>
      <c r="T174" s="274"/>
      <c r="U174" s="276"/>
    </row>
    <row r="175" spans="1:21">
      <c r="A175" s="235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1"/>
      <c r="P175" s="241"/>
      <c r="Q175" s="241"/>
      <c r="R175" s="241"/>
      <c r="S175" s="241"/>
      <c r="T175" s="274"/>
      <c r="U175" s="276"/>
    </row>
    <row r="176" spans="1:21">
      <c r="A176" s="235"/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  <c r="O176" s="241"/>
      <c r="P176" s="241"/>
      <c r="Q176" s="241"/>
      <c r="R176" s="241"/>
      <c r="S176" s="241"/>
      <c r="T176" s="274"/>
      <c r="U176" s="276"/>
    </row>
    <row r="177" spans="1:21">
      <c r="A177" s="235"/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  <c r="O177" s="241"/>
      <c r="P177" s="241"/>
      <c r="Q177" s="241"/>
      <c r="R177" s="241"/>
      <c r="S177" s="241"/>
      <c r="T177" s="274"/>
      <c r="U177" s="276"/>
    </row>
    <row r="178" spans="1:21">
      <c r="A178" s="235"/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  <c r="O178" s="241"/>
      <c r="P178" s="241"/>
      <c r="Q178" s="241"/>
      <c r="R178" s="241"/>
      <c r="S178" s="241"/>
      <c r="T178" s="274"/>
      <c r="U178" s="276"/>
    </row>
    <row r="179" spans="1:21">
      <c r="A179" s="235"/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  <c r="O179" s="241"/>
      <c r="P179" s="241"/>
      <c r="Q179" s="241"/>
      <c r="R179" s="241"/>
      <c r="S179" s="241"/>
      <c r="T179" s="274"/>
      <c r="U179" s="276"/>
    </row>
    <row r="180" spans="1:21">
      <c r="A180" s="235"/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  <c r="O180" s="241"/>
      <c r="P180" s="241"/>
      <c r="Q180" s="241"/>
      <c r="R180" s="241"/>
      <c r="S180" s="241"/>
      <c r="T180" s="274"/>
      <c r="U180" s="276"/>
    </row>
    <row r="181" spans="1:21">
      <c r="A181" s="235"/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  <c r="O181" s="241"/>
      <c r="P181" s="241"/>
      <c r="Q181" s="241"/>
      <c r="R181" s="241"/>
      <c r="S181" s="241"/>
      <c r="T181" s="274"/>
      <c r="U181" s="276"/>
    </row>
    <row r="182" spans="1:21">
      <c r="A182" s="235"/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  <c r="O182" s="241"/>
      <c r="P182" s="241"/>
      <c r="Q182" s="241"/>
      <c r="R182" s="241"/>
      <c r="S182" s="241"/>
      <c r="T182" s="274"/>
      <c r="U182" s="276"/>
    </row>
    <row r="183" spans="1:21">
      <c r="A183" s="235"/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  <c r="O183" s="241"/>
      <c r="P183" s="241"/>
      <c r="Q183" s="241"/>
      <c r="R183" s="241"/>
      <c r="S183" s="241"/>
      <c r="T183" s="274"/>
      <c r="U183" s="276"/>
    </row>
    <row r="184" spans="1:21">
      <c r="A184" s="235"/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  <c r="O184" s="241"/>
      <c r="P184" s="241"/>
      <c r="Q184" s="241"/>
      <c r="R184" s="241"/>
      <c r="S184" s="241"/>
      <c r="T184" s="274"/>
      <c r="U184" s="276"/>
    </row>
    <row r="185" spans="1:21">
      <c r="A185" s="235"/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  <c r="O185" s="241"/>
      <c r="P185" s="241"/>
      <c r="Q185" s="241"/>
      <c r="R185" s="241"/>
      <c r="S185" s="241"/>
      <c r="T185" s="274"/>
      <c r="U185" s="276"/>
    </row>
    <row r="186" spans="1:21">
      <c r="A186" s="235"/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  <c r="O186" s="241"/>
      <c r="P186" s="241"/>
      <c r="Q186" s="241"/>
      <c r="R186" s="241"/>
      <c r="S186" s="241"/>
      <c r="T186" s="274"/>
      <c r="U186" s="276"/>
    </row>
    <row r="187" spans="1:21">
      <c r="A187" s="235"/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  <c r="O187" s="241"/>
      <c r="P187" s="241"/>
      <c r="Q187" s="241"/>
      <c r="R187" s="241"/>
      <c r="S187" s="241"/>
      <c r="T187" s="274"/>
      <c r="U187" s="276"/>
    </row>
    <row r="188" spans="1:21">
      <c r="A188" s="235"/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  <c r="O188" s="241"/>
      <c r="P188" s="241"/>
      <c r="Q188" s="241"/>
      <c r="R188" s="241"/>
      <c r="S188" s="241"/>
      <c r="T188" s="274"/>
      <c r="U188" s="276"/>
    </row>
    <row r="189" spans="1:21">
      <c r="A189" s="235"/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  <c r="O189" s="241"/>
      <c r="P189" s="241"/>
      <c r="Q189" s="241"/>
      <c r="R189" s="241"/>
      <c r="S189" s="241"/>
      <c r="T189" s="274"/>
      <c r="U189" s="276"/>
    </row>
    <row r="190" spans="1:21">
      <c r="A190" s="235"/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  <c r="O190" s="241"/>
      <c r="P190" s="241"/>
      <c r="Q190" s="241"/>
      <c r="R190" s="241"/>
      <c r="S190" s="241"/>
      <c r="T190" s="274"/>
      <c r="U190" s="276"/>
    </row>
    <row r="191" spans="1:21">
      <c r="A191" s="235"/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  <c r="O191" s="241"/>
      <c r="P191" s="241"/>
      <c r="Q191" s="241"/>
      <c r="R191" s="241"/>
      <c r="S191" s="241"/>
      <c r="T191" s="274"/>
      <c r="U191" s="276"/>
    </row>
    <row r="192" spans="1:21">
      <c r="A192" s="235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  <c r="O192" s="241"/>
      <c r="P192" s="241"/>
      <c r="Q192" s="241"/>
      <c r="R192" s="241"/>
      <c r="S192" s="241"/>
      <c r="T192" s="274"/>
      <c r="U192" s="276"/>
    </row>
    <row r="193" spans="1:21">
      <c r="A193" s="235"/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1"/>
      <c r="R193" s="241"/>
      <c r="S193" s="241"/>
      <c r="T193" s="274"/>
      <c r="U193" s="276"/>
    </row>
    <row r="194" spans="1:21">
      <c r="A194" s="235"/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  <c r="O194" s="241"/>
      <c r="P194" s="241"/>
      <c r="Q194" s="241"/>
      <c r="R194" s="241"/>
      <c r="S194" s="241"/>
      <c r="T194" s="274"/>
      <c r="U194" s="276"/>
    </row>
    <row r="195" spans="1:21">
      <c r="A195" s="235"/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  <c r="O195" s="241"/>
      <c r="P195" s="241"/>
      <c r="Q195" s="241"/>
      <c r="R195" s="241"/>
      <c r="S195" s="241"/>
      <c r="T195" s="274"/>
      <c r="U195" s="276"/>
    </row>
    <row r="196" spans="1:21">
      <c r="A196" s="235"/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  <c r="O196" s="241"/>
      <c r="P196" s="241"/>
      <c r="Q196" s="241"/>
      <c r="R196" s="241"/>
      <c r="S196" s="241"/>
      <c r="T196" s="274"/>
      <c r="U196" s="276"/>
    </row>
    <row r="197" spans="1:21">
      <c r="A197" s="235"/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  <c r="O197" s="241"/>
      <c r="P197" s="241"/>
      <c r="Q197" s="241"/>
      <c r="R197" s="241"/>
      <c r="S197" s="241"/>
      <c r="T197" s="274"/>
      <c r="U197" s="276"/>
    </row>
    <row r="198" spans="1:21">
      <c r="A198" s="235"/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  <c r="O198" s="241"/>
      <c r="P198" s="241"/>
      <c r="Q198" s="241"/>
      <c r="R198" s="241"/>
      <c r="S198" s="241"/>
      <c r="T198" s="274"/>
      <c r="U198" s="276"/>
    </row>
    <row r="199" spans="1:21">
      <c r="A199" s="235"/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  <c r="O199" s="241"/>
      <c r="P199" s="241"/>
      <c r="Q199" s="241"/>
      <c r="R199" s="241"/>
      <c r="S199" s="241"/>
      <c r="T199" s="274"/>
      <c r="U199" s="276"/>
    </row>
    <row r="200" spans="1:21">
      <c r="A200" s="235"/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  <c r="O200" s="241"/>
      <c r="P200" s="241"/>
      <c r="Q200" s="241"/>
      <c r="R200" s="241"/>
      <c r="S200" s="241"/>
      <c r="T200" s="274"/>
      <c r="U200" s="276"/>
    </row>
    <row r="201" spans="1:21">
      <c r="A201" s="235"/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  <c r="O201" s="241"/>
      <c r="P201" s="241"/>
      <c r="Q201" s="241"/>
      <c r="R201" s="241"/>
      <c r="S201" s="241"/>
      <c r="T201" s="274"/>
      <c r="U201" s="276"/>
    </row>
    <row r="202" spans="1:21">
      <c r="A202" s="235"/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  <c r="O202" s="241"/>
      <c r="P202" s="241"/>
      <c r="Q202" s="241"/>
      <c r="R202" s="241"/>
      <c r="S202" s="241"/>
      <c r="T202" s="274"/>
      <c r="U202" s="276"/>
    </row>
    <row r="203" spans="1:21">
      <c r="A203" s="235"/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  <c r="O203" s="241"/>
      <c r="P203" s="241"/>
      <c r="Q203" s="241"/>
      <c r="R203" s="241"/>
      <c r="S203" s="241"/>
      <c r="T203" s="274"/>
      <c r="U203" s="276"/>
    </row>
    <row r="204" spans="1:21">
      <c r="A204" s="235"/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  <c r="O204" s="241"/>
      <c r="P204" s="241"/>
      <c r="Q204" s="241"/>
      <c r="R204" s="241"/>
      <c r="S204" s="241"/>
      <c r="T204" s="274"/>
      <c r="U204" s="276"/>
    </row>
    <row r="205" spans="1:21">
      <c r="A205" s="235"/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  <c r="O205" s="241"/>
      <c r="P205" s="241"/>
      <c r="Q205" s="241"/>
      <c r="R205" s="241"/>
      <c r="S205" s="241"/>
      <c r="T205" s="274"/>
      <c r="U205" s="276"/>
    </row>
    <row r="206" spans="1:21">
      <c r="A206" s="235"/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  <c r="O206" s="241"/>
      <c r="P206" s="241"/>
      <c r="Q206" s="241"/>
      <c r="R206" s="241"/>
      <c r="S206" s="241"/>
      <c r="T206" s="274"/>
      <c r="U206" s="276"/>
    </row>
    <row r="207" spans="1:21">
      <c r="A207" s="235"/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  <c r="O207" s="241"/>
      <c r="P207" s="241"/>
      <c r="Q207" s="241"/>
      <c r="R207" s="241"/>
      <c r="S207" s="241"/>
      <c r="T207" s="274"/>
      <c r="U207" s="276"/>
    </row>
    <row r="208" spans="1:21">
      <c r="A208" s="235"/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  <c r="O208" s="241"/>
      <c r="P208" s="241"/>
      <c r="Q208" s="241"/>
      <c r="R208" s="241"/>
      <c r="S208" s="241"/>
      <c r="T208" s="274"/>
      <c r="U208" s="276"/>
    </row>
    <row r="209" spans="1:21">
      <c r="A209" s="235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  <c r="O209" s="241"/>
      <c r="P209" s="241"/>
      <c r="Q209" s="241"/>
      <c r="R209" s="241"/>
      <c r="S209" s="241"/>
      <c r="T209" s="274"/>
      <c r="U209" s="276"/>
    </row>
    <row r="210" spans="1:21">
      <c r="A210" s="235"/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  <c r="O210" s="241"/>
      <c r="P210" s="241"/>
      <c r="Q210" s="241"/>
      <c r="R210" s="241"/>
      <c r="S210" s="241"/>
      <c r="T210" s="274"/>
      <c r="U210" s="276"/>
    </row>
    <row r="211" spans="1:21">
      <c r="A211" s="235"/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  <c r="O211" s="241"/>
      <c r="P211" s="241"/>
      <c r="Q211" s="241"/>
      <c r="R211" s="241"/>
      <c r="S211" s="241"/>
      <c r="T211" s="274"/>
      <c r="U211" s="276"/>
    </row>
    <row r="212" spans="1:21">
      <c r="A212" s="235"/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  <c r="O212" s="241"/>
      <c r="P212" s="241"/>
      <c r="Q212" s="241"/>
      <c r="R212" s="241"/>
      <c r="S212" s="241"/>
      <c r="T212" s="274"/>
      <c r="U212" s="276"/>
    </row>
    <row r="213" spans="1:21">
      <c r="A213" s="235"/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  <c r="O213" s="241"/>
      <c r="P213" s="241"/>
      <c r="Q213" s="241"/>
      <c r="R213" s="241"/>
      <c r="S213" s="241"/>
      <c r="T213" s="274"/>
      <c r="U213" s="276"/>
    </row>
    <row r="214" spans="1:21">
      <c r="A214" s="235"/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  <c r="O214" s="241"/>
      <c r="P214" s="241"/>
      <c r="Q214" s="241"/>
      <c r="R214" s="241"/>
      <c r="S214" s="241"/>
      <c r="T214" s="274"/>
      <c r="U214" s="276"/>
    </row>
    <row r="215" spans="1:21">
      <c r="A215" s="235"/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  <c r="O215" s="241"/>
      <c r="P215" s="241"/>
      <c r="Q215" s="241"/>
      <c r="R215" s="241"/>
      <c r="S215" s="241"/>
      <c r="T215" s="274"/>
      <c r="U215" s="276"/>
    </row>
    <row r="216" spans="1:21">
      <c r="A216" s="235"/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  <c r="O216" s="241"/>
      <c r="P216" s="241"/>
      <c r="Q216" s="241"/>
      <c r="R216" s="241"/>
      <c r="S216" s="241"/>
      <c r="T216" s="274"/>
      <c r="U216" s="276"/>
    </row>
    <row r="217" spans="1:21">
      <c r="A217" s="235"/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  <c r="O217" s="241"/>
      <c r="P217" s="241"/>
      <c r="Q217" s="241"/>
      <c r="R217" s="241"/>
      <c r="S217" s="241"/>
      <c r="T217" s="274"/>
      <c r="U217" s="276"/>
    </row>
    <row r="218" spans="1:21">
      <c r="A218" s="235"/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  <c r="O218" s="241"/>
      <c r="P218" s="241"/>
      <c r="Q218" s="241"/>
      <c r="R218" s="241"/>
      <c r="S218" s="241"/>
      <c r="T218" s="274"/>
      <c r="U218" s="276"/>
    </row>
    <row r="219" spans="1:21">
      <c r="A219" s="235"/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  <c r="O219" s="241"/>
      <c r="P219" s="241"/>
      <c r="Q219" s="241"/>
      <c r="R219" s="241"/>
      <c r="S219" s="241"/>
      <c r="T219" s="274"/>
      <c r="U219" s="276"/>
    </row>
    <row r="220" spans="1:21">
      <c r="A220" s="235"/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  <c r="O220" s="241"/>
      <c r="P220" s="241"/>
      <c r="Q220" s="241"/>
      <c r="R220" s="241"/>
      <c r="S220" s="241"/>
      <c r="T220" s="274"/>
      <c r="U220" s="276"/>
    </row>
    <row r="221" spans="1:21">
      <c r="A221" s="235"/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  <c r="O221" s="241"/>
      <c r="P221" s="241"/>
      <c r="Q221" s="241"/>
      <c r="R221" s="241"/>
      <c r="S221" s="241"/>
      <c r="T221" s="274"/>
      <c r="U221" s="276"/>
    </row>
    <row r="222" spans="1:21">
      <c r="A222" s="235"/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  <c r="O222" s="241"/>
      <c r="P222" s="241"/>
      <c r="Q222" s="241"/>
      <c r="R222" s="241"/>
      <c r="S222" s="241"/>
      <c r="T222" s="274"/>
      <c r="U222" s="276"/>
    </row>
    <row r="223" spans="1:21">
      <c r="A223" s="235"/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  <c r="O223" s="241"/>
      <c r="P223" s="241"/>
      <c r="Q223" s="241"/>
      <c r="R223" s="241"/>
      <c r="S223" s="241"/>
      <c r="T223" s="274"/>
      <c r="U223" s="276"/>
    </row>
    <row r="224" spans="1:21">
      <c r="A224" s="235"/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  <c r="O224" s="241"/>
      <c r="P224" s="241"/>
      <c r="Q224" s="241"/>
      <c r="R224" s="241"/>
      <c r="S224" s="241"/>
      <c r="T224" s="274"/>
      <c r="U224" s="276"/>
    </row>
    <row r="225" spans="1:21">
      <c r="A225" s="235"/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  <c r="O225" s="241"/>
      <c r="P225" s="241"/>
      <c r="Q225" s="241"/>
      <c r="R225" s="241"/>
      <c r="S225" s="241"/>
      <c r="T225" s="274"/>
      <c r="U225" s="276"/>
    </row>
    <row r="226" spans="1:21">
      <c r="A226" s="235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  <c r="O226" s="241"/>
      <c r="P226" s="241"/>
      <c r="Q226" s="241"/>
      <c r="R226" s="241"/>
      <c r="S226" s="241"/>
      <c r="T226" s="274"/>
      <c r="U226" s="276"/>
    </row>
    <row r="227" spans="1:21">
      <c r="A227" s="235"/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  <c r="O227" s="241"/>
      <c r="P227" s="241"/>
      <c r="Q227" s="241"/>
      <c r="R227" s="241"/>
      <c r="S227" s="241"/>
      <c r="T227" s="274"/>
      <c r="U227" s="276"/>
    </row>
    <row r="228" spans="1:21">
      <c r="A228" s="235"/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  <c r="O228" s="241"/>
      <c r="P228" s="241"/>
      <c r="Q228" s="241"/>
      <c r="R228" s="241"/>
      <c r="S228" s="241"/>
      <c r="T228" s="274"/>
      <c r="U228" s="276"/>
    </row>
    <row r="229" spans="1:21">
      <c r="A229" s="235"/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  <c r="O229" s="241"/>
      <c r="P229" s="241"/>
      <c r="Q229" s="241"/>
      <c r="R229" s="241"/>
      <c r="S229" s="241"/>
      <c r="T229" s="274"/>
      <c r="U229" s="276"/>
    </row>
    <row r="230" spans="1:21">
      <c r="A230" s="235"/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  <c r="O230" s="241"/>
      <c r="P230" s="241"/>
      <c r="Q230" s="241"/>
      <c r="R230" s="241"/>
      <c r="S230" s="241"/>
      <c r="T230" s="274"/>
      <c r="U230" s="276"/>
    </row>
    <row r="231" spans="1:21">
      <c r="A231" s="235"/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  <c r="O231" s="241"/>
      <c r="P231" s="241"/>
      <c r="Q231" s="241"/>
      <c r="R231" s="241"/>
      <c r="S231" s="241"/>
      <c r="T231" s="274"/>
      <c r="U231" s="276"/>
    </row>
    <row r="232" spans="1:21">
      <c r="A232" s="235"/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  <c r="O232" s="241"/>
      <c r="P232" s="241"/>
      <c r="Q232" s="241"/>
      <c r="R232" s="241"/>
      <c r="S232" s="241"/>
      <c r="T232" s="274"/>
      <c r="U232" s="276"/>
    </row>
    <row r="233" spans="1:21">
      <c r="A233" s="235"/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  <c r="O233" s="241"/>
      <c r="P233" s="241"/>
      <c r="Q233" s="241"/>
      <c r="R233" s="241"/>
      <c r="S233" s="241"/>
      <c r="T233" s="274"/>
      <c r="U233" s="276"/>
    </row>
    <row r="234" spans="1:21">
      <c r="A234" s="235"/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1"/>
      <c r="R234" s="241"/>
      <c r="S234" s="241"/>
      <c r="T234" s="274"/>
      <c r="U234" s="276"/>
    </row>
    <row r="235" spans="1:21">
      <c r="A235" s="235"/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  <c r="O235" s="241"/>
      <c r="P235" s="241"/>
      <c r="Q235" s="241"/>
      <c r="R235" s="241"/>
      <c r="S235" s="241"/>
      <c r="T235" s="274"/>
      <c r="U235" s="276"/>
    </row>
    <row r="236" spans="1:21">
      <c r="A236" s="235"/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  <c r="O236" s="241"/>
      <c r="P236" s="241"/>
      <c r="Q236" s="241"/>
      <c r="R236" s="241"/>
      <c r="S236" s="241"/>
      <c r="T236" s="274"/>
      <c r="U236" s="276"/>
    </row>
    <row r="237" spans="1:21">
      <c r="A237" s="235"/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  <c r="O237" s="241"/>
      <c r="P237" s="241"/>
      <c r="Q237" s="241"/>
      <c r="R237" s="241"/>
      <c r="S237" s="241"/>
      <c r="T237" s="274"/>
      <c r="U237" s="276"/>
    </row>
    <row r="238" spans="1:21">
      <c r="A238" s="235"/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  <c r="O238" s="241"/>
      <c r="P238" s="241"/>
      <c r="Q238" s="241"/>
      <c r="R238" s="241"/>
      <c r="S238" s="241"/>
      <c r="T238" s="274"/>
      <c r="U238" s="276"/>
    </row>
    <row r="239" spans="1:21">
      <c r="A239" s="235"/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  <c r="O239" s="241"/>
      <c r="P239" s="241"/>
      <c r="Q239" s="241"/>
      <c r="R239" s="241"/>
      <c r="S239" s="241"/>
      <c r="T239" s="274"/>
      <c r="U239" s="276"/>
    </row>
    <row r="240" spans="1:21">
      <c r="A240" s="235"/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  <c r="O240" s="241"/>
      <c r="P240" s="241"/>
      <c r="Q240" s="241"/>
      <c r="R240" s="241"/>
      <c r="S240" s="241"/>
      <c r="T240" s="274"/>
      <c r="U240" s="276"/>
    </row>
    <row r="241" spans="1:21">
      <c r="A241" s="235"/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  <c r="O241" s="241"/>
      <c r="P241" s="241"/>
      <c r="Q241" s="241"/>
      <c r="R241" s="241"/>
      <c r="S241" s="241"/>
      <c r="T241" s="274"/>
      <c r="U241" s="276"/>
    </row>
    <row r="242" spans="1:21">
      <c r="A242" s="235"/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  <c r="O242" s="241"/>
      <c r="P242" s="241"/>
      <c r="Q242" s="241"/>
      <c r="R242" s="241"/>
      <c r="S242" s="241"/>
      <c r="T242" s="274"/>
      <c r="U242" s="276"/>
    </row>
    <row r="243" spans="1:21">
      <c r="A243" s="235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  <c r="O243" s="241"/>
      <c r="P243" s="241"/>
      <c r="Q243" s="241"/>
      <c r="R243" s="241"/>
      <c r="S243" s="241"/>
      <c r="T243" s="274"/>
      <c r="U243" s="276"/>
    </row>
    <row r="244" spans="1:21">
      <c r="A244" s="235"/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  <c r="O244" s="241"/>
      <c r="P244" s="241"/>
      <c r="Q244" s="241"/>
      <c r="R244" s="241"/>
      <c r="S244" s="241"/>
      <c r="T244" s="274"/>
      <c r="U244" s="276"/>
    </row>
    <row r="245" spans="1:21">
      <c r="A245" s="235"/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  <c r="O245" s="241"/>
      <c r="P245" s="241"/>
      <c r="Q245" s="241"/>
      <c r="R245" s="241"/>
      <c r="S245" s="241"/>
      <c r="T245" s="274"/>
      <c r="U245" s="276"/>
    </row>
    <row r="246" spans="1:21">
      <c r="A246" s="235"/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  <c r="O246" s="241"/>
      <c r="P246" s="241"/>
      <c r="Q246" s="241"/>
      <c r="R246" s="241"/>
      <c r="S246" s="241"/>
      <c r="T246" s="274"/>
      <c r="U246" s="276"/>
    </row>
    <row r="247" spans="1:21">
      <c r="A247" s="235"/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  <c r="O247" s="241"/>
      <c r="P247" s="241"/>
      <c r="Q247" s="241"/>
      <c r="R247" s="241"/>
      <c r="S247" s="241"/>
      <c r="T247" s="274"/>
      <c r="U247" s="276"/>
    </row>
    <row r="248" spans="1:21">
      <c r="A248" s="235"/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  <c r="O248" s="241"/>
      <c r="P248" s="241"/>
      <c r="Q248" s="241"/>
      <c r="R248" s="241"/>
      <c r="S248" s="241"/>
      <c r="T248" s="274"/>
      <c r="U248" s="276"/>
    </row>
    <row r="249" spans="1:21">
      <c r="A249" s="235"/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  <c r="O249" s="241"/>
      <c r="P249" s="241"/>
      <c r="Q249" s="241"/>
      <c r="R249" s="241"/>
      <c r="S249" s="241"/>
      <c r="T249" s="274"/>
      <c r="U249" s="276"/>
    </row>
    <row r="250" spans="1:21">
      <c r="A250" s="235"/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  <c r="O250" s="241"/>
      <c r="P250" s="241"/>
      <c r="Q250" s="241"/>
      <c r="R250" s="241"/>
      <c r="S250" s="241"/>
      <c r="T250" s="274"/>
      <c r="U250" s="276"/>
    </row>
    <row r="251" spans="1:21">
      <c r="A251" s="235"/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  <c r="O251" s="241"/>
      <c r="P251" s="241"/>
      <c r="Q251" s="241"/>
      <c r="R251" s="241"/>
      <c r="S251" s="241"/>
      <c r="T251" s="274"/>
      <c r="U251" s="276"/>
    </row>
    <row r="252" spans="1:21">
      <c r="A252" s="235"/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  <c r="O252" s="241"/>
      <c r="P252" s="241"/>
      <c r="Q252" s="241"/>
      <c r="R252" s="241"/>
      <c r="S252" s="241"/>
      <c r="T252" s="274"/>
      <c r="U252" s="276"/>
    </row>
    <row r="253" spans="1:21">
      <c r="A253" s="235"/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  <c r="O253" s="241"/>
      <c r="P253" s="241"/>
      <c r="Q253" s="241"/>
      <c r="R253" s="241"/>
      <c r="S253" s="241"/>
      <c r="T253" s="274"/>
      <c r="U253" s="276"/>
    </row>
    <row r="254" spans="1:21">
      <c r="A254" s="235"/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  <c r="O254" s="241"/>
      <c r="P254" s="241"/>
      <c r="Q254" s="241"/>
      <c r="R254" s="241"/>
      <c r="S254" s="241"/>
      <c r="T254" s="274"/>
      <c r="U254" s="276"/>
    </row>
    <row r="255" spans="1:21">
      <c r="A255" s="235"/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  <c r="O255" s="241"/>
      <c r="P255" s="241"/>
      <c r="Q255" s="241"/>
      <c r="R255" s="241"/>
      <c r="S255" s="241"/>
      <c r="T255" s="274"/>
      <c r="U255" s="276"/>
    </row>
    <row r="256" spans="1:21">
      <c r="A256" s="235"/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  <c r="O256" s="241"/>
      <c r="P256" s="241"/>
      <c r="Q256" s="241"/>
      <c r="R256" s="241"/>
      <c r="S256" s="241"/>
      <c r="T256" s="274"/>
      <c r="U256" s="276"/>
    </row>
    <row r="257" spans="1:21">
      <c r="A257" s="235"/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  <c r="O257" s="241"/>
      <c r="P257" s="241"/>
      <c r="Q257" s="241"/>
      <c r="R257" s="241"/>
      <c r="S257" s="241"/>
      <c r="T257" s="274"/>
      <c r="U257" s="276"/>
    </row>
    <row r="258" spans="1:21">
      <c r="A258" s="235"/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  <c r="O258" s="241"/>
      <c r="P258" s="241"/>
      <c r="Q258" s="241"/>
      <c r="R258" s="241"/>
      <c r="S258" s="241"/>
      <c r="T258" s="274"/>
      <c r="U258" s="276"/>
    </row>
    <row r="259" spans="1:21">
      <c r="A259" s="235"/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  <c r="O259" s="241"/>
      <c r="P259" s="241"/>
      <c r="Q259" s="241"/>
      <c r="R259" s="241"/>
      <c r="S259" s="241"/>
      <c r="T259" s="274"/>
      <c r="U259" s="276"/>
    </row>
    <row r="260" spans="1:21">
      <c r="A260" s="235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  <c r="O260" s="241"/>
      <c r="P260" s="241"/>
      <c r="Q260" s="241"/>
      <c r="R260" s="241"/>
      <c r="S260" s="241"/>
      <c r="T260" s="274"/>
      <c r="U260" s="276"/>
    </row>
    <row r="261" spans="1:21">
      <c r="A261" s="235"/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  <c r="O261" s="241"/>
      <c r="P261" s="241"/>
      <c r="Q261" s="241"/>
      <c r="R261" s="241"/>
      <c r="S261" s="241"/>
      <c r="T261" s="274"/>
      <c r="U261" s="276"/>
    </row>
    <row r="262" spans="1:21">
      <c r="A262" s="235"/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  <c r="O262" s="241"/>
      <c r="P262" s="241"/>
      <c r="Q262" s="241"/>
      <c r="R262" s="241"/>
      <c r="S262" s="241"/>
      <c r="T262" s="274"/>
      <c r="U262" s="276"/>
    </row>
    <row r="263" spans="1:21">
      <c r="A263" s="235"/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  <c r="O263" s="241"/>
      <c r="P263" s="241"/>
      <c r="Q263" s="241"/>
      <c r="R263" s="241"/>
      <c r="S263" s="241"/>
      <c r="T263" s="274"/>
      <c r="U263" s="276"/>
    </row>
    <row r="264" spans="1:21">
      <c r="A264" s="235"/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  <c r="O264" s="241"/>
      <c r="P264" s="241"/>
      <c r="Q264" s="241"/>
      <c r="R264" s="241"/>
      <c r="S264" s="241"/>
      <c r="T264" s="274"/>
      <c r="U264" s="276"/>
    </row>
    <row r="265" spans="1:21">
      <c r="A265" s="235"/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  <c r="O265" s="241"/>
      <c r="P265" s="241"/>
      <c r="Q265" s="241"/>
      <c r="R265" s="241"/>
      <c r="S265" s="241"/>
      <c r="T265" s="274"/>
      <c r="U265" s="276"/>
    </row>
    <row r="266" spans="1:21">
      <c r="A266" s="235"/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  <c r="O266" s="241"/>
      <c r="P266" s="241"/>
      <c r="Q266" s="241"/>
      <c r="R266" s="241"/>
      <c r="S266" s="241"/>
      <c r="T266" s="274"/>
      <c r="U266" s="276"/>
    </row>
    <row r="267" spans="1:21">
      <c r="A267" s="235"/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  <c r="O267" s="241"/>
      <c r="P267" s="241"/>
      <c r="Q267" s="241"/>
      <c r="R267" s="241"/>
      <c r="S267" s="241"/>
      <c r="T267" s="274"/>
      <c r="U267" s="276"/>
    </row>
    <row r="268" spans="1:21">
      <c r="A268" s="235"/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  <c r="O268" s="241"/>
      <c r="P268" s="241"/>
      <c r="Q268" s="241"/>
      <c r="R268" s="241"/>
      <c r="S268" s="241"/>
      <c r="T268" s="274"/>
      <c r="U268" s="276"/>
    </row>
    <row r="269" spans="1:21">
      <c r="A269" s="235"/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  <c r="O269" s="241"/>
      <c r="P269" s="241"/>
      <c r="Q269" s="241"/>
      <c r="R269" s="241"/>
      <c r="S269" s="241"/>
      <c r="T269" s="274"/>
      <c r="U269" s="276"/>
    </row>
    <row r="270" spans="1:21">
      <c r="A270" s="235"/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  <c r="O270" s="241"/>
      <c r="P270" s="241"/>
      <c r="Q270" s="241"/>
      <c r="R270" s="241"/>
      <c r="S270" s="241"/>
      <c r="T270" s="274"/>
      <c r="U270" s="276"/>
    </row>
    <row r="271" spans="1:21">
      <c r="A271" s="235"/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  <c r="O271" s="241"/>
      <c r="P271" s="241"/>
      <c r="Q271" s="241"/>
      <c r="R271" s="241"/>
      <c r="S271" s="241"/>
      <c r="T271" s="274"/>
      <c r="U271" s="276"/>
    </row>
    <row r="272" spans="1:21">
      <c r="A272" s="235"/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  <c r="O272" s="241"/>
      <c r="P272" s="241"/>
      <c r="Q272" s="241"/>
      <c r="R272" s="241"/>
      <c r="S272" s="241"/>
      <c r="T272" s="274"/>
      <c r="U272" s="276"/>
    </row>
    <row r="273" spans="1:21">
      <c r="A273" s="235"/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  <c r="O273" s="241"/>
      <c r="P273" s="241"/>
      <c r="Q273" s="241"/>
      <c r="R273" s="241"/>
      <c r="S273" s="241"/>
      <c r="T273" s="274"/>
      <c r="U273" s="276"/>
    </row>
    <row r="274" spans="1:21">
      <c r="A274" s="235"/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  <c r="O274" s="241"/>
      <c r="P274" s="241"/>
      <c r="Q274" s="241"/>
      <c r="R274" s="241"/>
      <c r="S274" s="241"/>
      <c r="T274" s="274"/>
      <c r="U274" s="276"/>
    </row>
    <row r="275" spans="1:21">
      <c r="A275" s="235"/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  <c r="O275" s="241"/>
      <c r="P275" s="241"/>
      <c r="Q275" s="241"/>
      <c r="R275" s="241"/>
      <c r="S275" s="241"/>
      <c r="T275" s="274"/>
      <c r="U275" s="276"/>
    </row>
    <row r="276" spans="1:21">
      <c r="A276" s="235"/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  <c r="O276" s="241"/>
      <c r="P276" s="241"/>
      <c r="Q276" s="241"/>
      <c r="R276" s="241"/>
      <c r="S276" s="241"/>
      <c r="T276" s="274"/>
      <c r="U276" s="276"/>
    </row>
    <row r="277" spans="1:21">
      <c r="A277" s="235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  <c r="O277" s="241"/>
      <c r="P277" s="241"/>
      <c r="Q277" s="241"/>
      <c r="R277" s="241"/>
      <c r="S277" s="241"/>
      <c r="T277" s="274"/>
      <c r="U277" s="276"/>
    </row>
    <row r="278" spans="1:21">
      <c r="A278" s="235"/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  <c r="O278" s="241"/>
      <c r="P278" s="241"/>
      <c r="Q278" s="241"/>
      <c r="R278" s="241"/>
      <c r="S278" s="241"/>
      <c r="T278" s="274"/>
      <c r="U278" s="276"/>
    </row>
    <row r="279" spans="1:21">
      <c r="A279" s="235"/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  <c r="O279" s="241"/>
      <c r="P279" s="241"/>
      <c r="Q279" s="241"/>
      <c r="R279" s="241"/>
      <c r="S279" s="241"/>
      <c r="T279" s="274"/>
      <c r="U279" s="276"/>
    </row>
    <row r="280" spans="1:21">
      <c r="A280" s="235"/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  <c r="O280" s="241"/>
      <c r="P280" s="241"/>
      <c r="Q280" s="241"/>
      <c r="R280" s="241"/>
      <c r="S280" s="241"/>
      <c r="T280" s="274"/>
      <c r="U280" s="276"/>
    </row>
    <row r="281" spans="1:21">
      <c r="A281" s="235"/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  <c r="O281" s="241"/>
      <c r="P281" s="241"/>
      <c r="Q281" s="241"/>
      <c r="R281" s="241"/>
      <c r="S281" s="241"/>
      <c r="T281" s="274"/>
      <c r="U281" s="276"/>
    </row>
    <row r="282" spans="1:21">
      <c r="A282" s="235"/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  <c r="O282" s="241"/>
      <c r="P282" s="241"/>
      <c r="Q282" s="241"/>
      <c r="R282" s="241"/>
      <c r="S282" s="241"/>
      <c r="T282" s="274"/>
      <c r="U282" s="276"/>
    </row>
    <row r="283" spans="1:21">
      <c r="A283" s="235"/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  <c r="O283" s="241"/>
      <c r="P283" s="241"/>
      <c r="Q283" s="241"/>
      <c r="R283" s="241"/>
      <c r="S283" s="241"/>
      <c r="T283" s="274"/>
      <c r="U283" s="276"/>
    </row>
    <row r="284" spans="1:21">
      <c r="A284" s="235"/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  <c r="O284" s="241"/>
      <c r="P284" s="241"/>
      <c r="Q284" s="241"/>
      <c r="R284" s="241"/>
      <c r="S284" s="241"/>
      <c r="T284" s="274"/>
      <c r="U284" s="276"/>
    </row>
    <row r="285" spans="1:21">
      <c r="A285" s="235"/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  <c r="O285" s="241"/>
      <c r="P285" s="241"/>
      <c r="Q285" s="241"/>
      <c r="R285" s="241"/>
      <c r="S285" s="241"/>
      <c r="T285" s="274"/>
      <c r="U285" s="276"/>
    </row>
    <row r="286" spans="1:21">
      <c r="A286" s="235"/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  <c r="O286" s="241"/>
      <c r="P286" s="241"/>
      <c r="Q286" s="241"/>
      <c r="R286" s="241"/>
      <c r="S286" s="241"/>
      <c r="T286" s="274"/>
      <c r="U286" s="276"/>
    </row>
    <row r="287" spans="1:21">
      <c r="A287" s="235"/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  <c r="O287" s="241"/>
      <c r="P287" s="241"/>
      <c r="Q287" s="241"/>
      <c r="R287" s="241"/>
      <c r="S287" s="241"/>
      <c r="T287" s="274"/>
      <c r="U287" s="276"/>
    </row>
    <row r="288" spans="1:21">
      <c r="A288" s="235"/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  <c r="O288" s="241"/>
      <c r="P288" s="241"/>
      <c r="Q288" s="241"/>
      <c r="R288" s="241"/>
      <c r="S288" s="241"/>
      <c r="T288" s="274"/>
      <c r="U288" s="276"/>
    </row>
    <row r="289" spans="1:21">
      <c r="A289" s="235"/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  <c r="O289" s="241"/>
      <c r="P289" s="241"/>
      <c r="Q289" s="241"/>
      <c r="R289" s="241"/>
      <c r="S289" s="241"/>
      <c r="T289" s="274"/>
      <c r="U289" s="276"/>
    </row>
    <row r="290" spans="1:21">
      <c r="A290" s="235"/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  <c r="O290" s="241"/>
      <c r="P290" s="241"/>
      <c r="Q290" s="241"/>
      <c r="R290" s="241"/>
      <c r="S290" s="241"/>
      <c r="T290" s="274"/>
      <c r="U290" s="276"/>
    </row>
    <row r="291" spans="1:21">
      <c r="A291" s="235"/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  <c r="O291" s="241"/>
      <c r="P291" s="241"/>
      <c r="Q291" s="241"/>
      <c r="R291" s="241"/>
      <c r="S291" s="241"/>
      <c r="T291" s="274"/>
      <c r="U291" s="276"/>
    </row>
    <row r="292" spans="1:21">
      <c r="A292" s="235"/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  <c r="O292" s="241"/>
      <c r="P292" s="241"/>
      <c r="Q292" s="241"/>
      <c r="R292" s="241"/>
      <c r="S292" s="241"/>
      <c r="T292" s="274"/>
      <c r="U292" s="276"/>
    </row>
    <row r="293" spans="1:21">
      <c r="A293" s="235"/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  <c r="O293" s="241"/>
      <c r="P293" s="241"/>
      <c r="Q293" s="241"/>
      <c r="R293" s="241"/>
      <c r="S293" s="241"/>
      <c r="T293" s="274"/>
      <c r="U293" s="276"/>
    </row>
    <row r="294" spans="1:21">
      <c r="A294" s="235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  <c r="O294" s="241"/>
      <c r="P294" s="241"/>
      <c r="Q294" s="241"/>
      <c r="R294" s="241"/>
      <c r="S294" s="241"/>
      <c r="T294" s="274"/>
      <c r="U294" s="276"/>
    </row>
    <row r="295" spans="1:21">
      <c r="A295" s="235"/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  <c r="O295" s="241"/>
      <c r="P295" s="241"/>
      <c r="Q295" s="241"/>
      <c r="R295" s="241"/>
      <c r="S295" s="241"/>
      <c r="T295" s="274"/>
      <c r="U295" s="276"/>
    </row>
    <row r="296" spans="1:21">
      <c r="A296" s="235"/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  <c r="O296" s="241"/>
      <c r="P296" s="241"/>
      <c r="Q296" s="241"/>
      <c r="R296" s="241"/>
      <c r="S296" s="241"/>
      <c r="T296" s="274"/>
      <c r="U296" s="276"/>
    </row>
    <row r="297" spans="1:21">
      <c r="A297" s="235"/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  <c r="O297" s="241"/>
      <c r="P297" s="241"/>
      <c r="Q297" s="241"/>
      <c r="R297" s="241"/>
      <c r="S297" s="241"/>
      <c r="T297" s="274"/>
      <c r="U297" s="276"/>
    </row>
    <row r="298" spans="1:21">
      <c r="A298" s="235"/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  <c r="O298" s="241"/>
      <c r="P298" s="241"/>
      <c r="Q298" s="241"/>
      <c r="R298" s="241"/>
      <c r="S298" s="241"/>
      <c r="T298" s="274"/>
      <c r="U298" s="276"/>
    </row>
    <row r="299" spans="1:21">
      <c r="A299" s="235"/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  <c r="O299" s="241"/>
      <c r="P299" s="241"/>
      <c r="Q299" s="241"/>
      <c r="R299" s="241"/>
      <c r="S299" s="241"/>
      <c r="T299" s="274"/>
      <c r="U299" s="276"/>
    </row>
    <row r="300" spans="1:21">
      <c r="A300" s="235"/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  <c r="O300" s="241"/>
      <c r="P300" s="241"/>
      <c r="Q300" s="241"/>
      <c r="R300" s="241"/>
      <c r="S300" s="241"/>
      <c r="T300" s="274"/>
      <c r="U300" s="276"/>
    </row>
    <row r="301" spans="1:21" ht="16" thickBot="1">
      <c r="A301" s="278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79"/>
      <c r="U301" s="280"/>
    </row>
    <row r="302" spans="1:21">
      <c r="A302" s="233"/>
      <c r="B302" s="245"/>
      <c r="C302" s="245"/>
      <c r="D302" s="245"/>
      <c r="E302" s="245"/>
      <c r="F302" s="245"/>
      <c r="G302" s="245"/>
      <c r="H302" s="245"/>
      <c r="I302" s="245"/>
      <c r="J302" s="245"/>
      <c r="K302" s="245"/>
      <c r="L302" s="245"/>
      <c r="M302" s="245"/>
      <c r="N302" s="245"/>
      <c r="O302" s="245"/>
      <c r="P302" s="245"/>
      <c r="Q302" s="245"/>
      <c r="R302" s="245"/>
      <c r="S302" s="245"/>
      <c r="T302" s="233"/>
      <c r="U302" s="233"/>
    </row>
    <row r="303" spans="1:21">
      <c r="A303" s="233"/>
      <c r="B303" s="245"/>
      <c r="C303" s="245"/>
      <c r="D303" s="245"/>
      <c r="E303" s="245"/>
      <c r="F303" s="245"/>
      <c r="G303" s="245"/>
      <c r="H303" s="245"/>
      <c r="I303" s="245"/>
      <c r="J303" s="245"/>
      <c r="K303" s="245"/>
      <c r="L303" s="245"/>
      <c r="M303" s="245"/>
      <c r="N303" s="245"/>
      <c r="O303" s="245"/>
      <c r="P303" s="245"/>
      <c r="Q303" s="245"/>
      <c r="R303" s="245"/>
      <c r="S303" s="245"/>
      <c r="T303" s="233"/>
      <c r="U303" s="233"/>
    </row>
    <row r="304" spans="1:21">
      <c r="A304" s="233"/>
      <c r="B304" s="245"/>
      <c r="C304" s="245"/>
      <c r="D304" s="245"/>
      <c r="E304" s="245"/>
      <c r="F304" s="245"/>
      <c r="G304" s="245"/>
      <c r="H304" s="245"/>
      <c r="I304" s="245"/>
      <c r="J304" s="245"/>
      <c r="K304" s="245"/>
      <c r="L304" s="245"/>
      <c r="M304" s="245"/>
      <c r="N304" s="245"/>
      <c r="O304" s="245"/>
      <c r="P304" s="245"/>
      <c r="Q304" s="245"/>
      <c r="R304" s="245"/>
      <c r="S304" s="245"/>
      <c r="T304" s="233"/>
      <c r="U304" s="233"/>
    </row>
    <row r="305" spans="1:21">
      <c r="A305" s="233"/>
      <c r="B305" s="245"/>
      <c r="C305" s="245"/>
      <c r="D305" s="245"/>
      <c r="E305" s="245"/>
      <c r="F305" s="245"/>
      <c r="G305" s="245"/>
      <c r="H305" s="245"/>
      <c r="I305" s="245"/>
      <c r="J305" s="245"/>
      <c r="K305" s="245"/>
      <c r="L305" s="245"/>
      <c r="M305" s="245"/>
      <c r="N305" s="245"/>
      <c r="O305" s="245"/>
      <c r="P305" s="245"/>
      <c r="Q305" s="245"/>
      <c r="R305" s="245"/>
      <c r="S305" s="245"/>
      <c r="T305" s="233"/>
      <c r="U305" s="2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>
    <tabColor theme="6" tint="0.59999389629810485"/>
  </sheetPr>
  <dimension ref="A1:U305"/>
  <sheetViews>
    <sheetView zoomScale="55" zoomScaleNormal="55" workbookViewId="0">
      <selection activeCell="A3" sqref="A3"/>
    </sheetView>
  </sheetViews>
  <sheetFormatPr defaultRowHeight="15.5"/>
  <cols>
    <col min="1" max="1" width="16.81640625" style="232" bestFit="1" customWidth="1"/>
    <col min="2" max="2" width="8.36328125" style="246" customWidth="1"/>
    <col min="3" max="3" width="9.6328125" style="246" customWidth="1"/>
    <col min="4" max="4" width="8.7265625" style="246"/>
    <col min="5" max="7" width="15.36328125" style="246" customWidth="1"/>
    <col min="8" max="8" width="8.7265625" style="246"/>
    <col min="9" max="9" width="15.81640625" style="246" customWidth="1"/>
    <col min="10" max="14" width="8.7265625" style="246"/>
    <col min="15" max="15" width="7.7265625" style="246" customWidth="1"/>
    <col min="16" max="19" width="8.7265625" style="246"/>
    <col min="20" max="16384" width="8.7265625" style="232"/>
  </cols>
  <sheetData>
    <row r="1" spans="1:21" ht="30" customHeight="1" thickBot="1">
      <c r="A1" s="247" t="s">
        <v>247</v>
      </c>
      <c r="B1" s="236"/>
      <c r="C1" s="236"/>
      <c r="D1" s="236"/>
      <c r="E1" s="236"/>
      <c r="F1" s="236"/>
      <c r="G1" s="236"/>
      <c r="H1" s="236"/>
      <c r="I1" s="236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81"/>
      <c r="U1" s="282"/>
    </row>
    <row r="2" spans="1:21" ht="40.5" customHeight="1">
      <c r="A2" s="283" t="s">
        <v>198</v>
      </c>
      <c r="B2" s="284" t="s">
        <v>236</v>
      </c>
      <c r="C2" s="284" t="s">
        <v>237</v>
      </c>
      <c r="D2" s="284" t="s">
        <v>238</v>
      </c>
      <c r="E2" s="284" t="s">
        <v>118</v>
      </c>
      <c r="F2" s="284" t="s">
        <v>249</v>
      </c>
      <c r="G2" s="284" t="s">
        <v>250</v>
      </c>
      <c r="H2" s="284" t="s">
        <v>119</v>
      </c>
      <c r="I2" s="284" t="s">
        <v>243</v>
      </c>
      <c r="J2" s="284" t="s">
        <v>99</v>
      </c>
      <c r="K2" s="284" t="s">
        <v>239</v>
      </c>
      <c r="L2" s="284" t="s">
        <v>100</v>
      </c>
      <c r="M2" s="284" t="s">
        <v>101</v>
      </c>
      <c r="N2" s="284" t="s">
        <v>102</v>
      </c>
      <c r="O2" s="284" t="s">
        <v>103</v>
      </c>
      <c r="P2" s="284" t="s">
        <v>104</v>
      </c>
      <c r="Q2" s="284" t="s">
        <v>105</v>
      </c>
      <c r="R2" s="284" t="s">
        <v>106</v>
      </c>
      <c r="S2" s="284" t="s">
        <v>107</v>
      </c>
      <c r="T2" s="284" t="s">
        <v>108</v>
      </c>
      <c r="U2" s="285" t="s">
        <v>109</v>
      </c>
    </row>
    <row r="3" spans="1:21">
      <c r="A3" s="66"/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74"/>
      <c r="U3" s="276"/>
    </row>
    <row r="4" spans="1:21">
      <c r="A4" s="277"/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74"/>
      <c r="U4" s="276"/>
    </row>
    <row r="5" spans="1:21">
      <c r="A5" s="275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1"/>
      <c r="R5" s="241"/>
      <c r="S5" s="241"/>
      <c r="T5" s="274"/>
      <c r="U5" s="276"/>
    </row>
    <row r="6" spans="1:21">
      <c r="A6" s="235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74"/>
      <c r="U6" s="276"/>
    </row>
    <row r="7" spans="1:21">
      <c r="A7" s="235"/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74"/>
      <c r="U7" s="276"/>
    </row>
    <row r="8" spans="1:21">
      <c r="A8" s="235"/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74"/>
      <c r="U8" s="276"/>
    </row>
    <row r="9" spans="1:21">
      <c r="A9" s="235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74"/>
      <c r="U9" s="276"/>
    </row>
    <row r="10" spans="1:21">
      <c r="A10" s="235"/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1"/>
      <c r="S10" s="241"/>
      <c r="T10" s="274"/>
      <c r="U10" s="276"/>
    </row>
    <row r="11" spans="1:21">
      <c r="A11" s="235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74"/>
      <c r="U11" s="276"/>
    </row>
    <row r="12" spans="1:21">
      <c r="A12" s="235"/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  <c r="O12" s="241"/>
      <c r="P12" s="241"/>
      <c r="Q12" s="241"/>
      <c r="R12" s="241"/>
      <c r="S12" s="241"/>
      <c r="T12" s="274"/>
      <c r="U12" s="276"/>
    </row>
    <row r="13" spans="1:21">
      <c r="A13" s="235"/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41"/>
      <c r="S13" s="241"/>
      <c r="T13" s="274"/>
      <c r="U13" s="276"/>
    </row>
    <row r="14" spans="1:21">
      <c r="A14" s="235"/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  <c r="O14" s="241"/>
      <c r="P14" s="241"/>
      <c r="Q14" s="241"/>
      <c r="R14" s="241"/>
      <c r="S14" s="241"/>
      <c r="T14" s="274"/>
      <c r="U14" s="276"/>
    </row>
    <row r="15" spans="1:21">
      <c r="A15" s="235"/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1"/>
      <c r="R15" s="241"/>
      <c r="S15" s="241"/>
      <c r="T15" s="274"/>
      <c r="U15" s="276"/>
    </row>
    <row r="16" spans="1:21">
      <c r="A16" s="235"/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1"/>
      <c r="R16" s="241"/>
      <c r="S16" s="241"/>
      <c r="T16" s="274"/>
      <c r="U16" s="276"/>
    </row>
    <row r="17" spans="1:21">
      <c r="A17" s="235"/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74"/>
      <c r="U17" s="276"/>
    </row>
    <row r="18" spans="1:21">
      <c r="A18" s="235"/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41"/>
      <c r="T18" s="274"/>
      <c r="U18" s="276"/>
    </row>
    <row r="19" spans="1:21">
      <c r="A19" s="235"/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41"/>
      <c r="S19" s="241"/>
      <c r="T19" s="274"/>
      <c r="U19" s="276"/>
    </row>
    <row r="20" spans="1:21">
      <c r="A20" s="235"/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74"/>
      <c r="U20" s="276"/>
    </row>
    <row r="21" spans="1:21">
      <c r="A21" s="235"/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74"/>
      <c r="U21" s="276"/>
    </row>
    <row r="22" spans="1:21">
      <c r="A22" s="235"/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74"/>
      <c r="U22" s="276"/>
    </row>
    <row r="23" spans="1:21">
      <c r="A23" s="235"/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74"/>
      <c r="U23" s="276"/>
    </row>
    <row r="24" spans="1:21">
      <c r="A24" s="235"/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  <c r="O24" s="241"/>
      <c r="P24" s="241"/>
      <c r="Q24" s="241"/>
      <c r="R24" s="241"/>
      <c r="S24" s="241"/>
      <c r="T24" s="274"/>
      <c r="U24" s="276"/>
    </row>
    <row r="25" spans="1:21">
      <c r="A25" s="235"/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1"/>
      <c r="R25" s="241"/>
      <c r="S25" s="241"/>
      <c r="T25" s="274"/>
      <c r="U25" s="276"/>
    </row>
    <row r="26" spans="1:21">
      <c r="A26" s="235"/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  <c r="O26" s="241"/>
      <c r="P26" s="241"/>
      <c r="Q26" s="241"/>
      <c r="R26" s="241"/>
      <c r="S26" s="241"/>
      <c r="T26" s="274"/>
      <c r="U26" s="276"/>
    </row>
    <row r="27" spans="1:21">
      <c r="A27" s="235"/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  <c r="O27" s="241"/>
      <c r="P27" s="241"/>
      <c r="Q27" s="241"/>
      <c r="R27" s="241"/>
      <c r="S27" s="241"/>
      <c r="T27" s="274"/>
      <c r="U27" s="276"/>
    </row>
    <row r="28" spans="1:21">
      <c r="A28" s="235"/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  <c r="O28" s="241"/>
      <c r="P28" s="241"/>
      <c r="Q28" s="241"/>
      <c r="R28" s="241"/>
      <c r="S28" s="241"/>
      <c r="T28" s="274"/>
      <c r="U28" s="276"/>
    </row>
    <row r="29" spans="1:21">
      <c r="A29" s="235"/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  <c r="O29" s="241"/>
      <c r="P29" s="241"/>
      <c r="Q29" s="241"/>
      <c r="R29" s="241"/>
      <c r="S29" s="241"/>
      <c r="T29" s="274"/>
      <c r="U29" s="276"/>
    </row>
    <row r="30" spans="1:21">
      <c r="A30" s="235"/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1"/>
      <c r="R30" s="241"/>
      <c r="S30" s="241"/>
      <c r="T30" s="274"/>
      <c r="U30" s="276"/>
    </row>
    <row r="31" spans="1:21">
      <c r="A31" s="235"/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41"/>
      <c r="S31" s="241"/>
      <c r="T31" s="274"/>
      <c r="U31" s="276"/>
    </row>
    <row r="32" spans="1:21">
      <c r="A32" s="235"/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1"/>
      <c r="R32" s="241"/>
      <c r="S32" s="241"/>
      <c r="T32" s="274"/>
      <c r="U32" s="276"/>
    </row>
    <row r="33" spans="1:21">
      <c r="A33" s="235"/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1"/>
      <c r="R33" s="241"/>
      <c r="S33" s="241"/>
      <c r="T33" s="274"/>
      <c r="U33" s="276"/>
    </row>
    <row r="34" spans="1:21">
      <c r="A34" s="235"/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1"/>
      <c r="R34" s="241"/>
      <c r="S34" s="241"/>
      <c r="T34" s="274"/>
      <c r="U34" s="276"/>
    </row>
    <row r="35" spans="1:21">
      <c r="A35" s="235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41"/>
      <c r="S35" s="241"/>
      <c r="T35" s="274"/>
      <c r="U35" s="276"/>
    </row>
    <row r="36" spans="1:21">
      <c r="A36" s="235"/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1"/>
      <c r="R36" s="241"/>
      <c r="S36" s="241"/>
      <c r="T36" s="274"/>
      <c r="U36" s="276"/>
    </row>
    <row r="37" spans="1:21">
      <c r="A37" s="235"/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41"/>
      <c r="S37" s="241"/>
      <c r="T37" s="274"/>
      <c r="U37" s="276"/>
    </row>
    <row r="38" spans="1:21">
      <c r="A38" s="235"/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1"/>
      <c r="R38" s="241"/>
      <c r="S38" s="241"/>
      <c r="T38" s="274"/>
      <c r="U38" s="276"/>
    </row>
    <row r="39" spans="1:21">
      <c r="A39" s="235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1"/>
      <c r="P39" s="241"/>
      <c r="Q39" s="241"/>
      <c r="R39" s="241"/>
      <c r="S39" s="241"/>
      <c r="T39" s="274"/>
      <c r="U39" s="276"/>
    </row>
    <row r="40" spans="1:21">
      <c r="A40" s="235"/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41"/>
      <c r="S40" s="241"/>
      <c r="T40" s="274"/>
      <c r="U40" s="276"/>
    </row>
    <row r="41" spans="1:21">
      <c r="A41" s="235"/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1"/>
      <c r="R41" s="241"/>
      <c r="S41" s="241"/>
      <c r="T41" s="274"/>
      <c r="U41" s="276"/>
    </row>
    <row r="42" spans="1:21">
      <c r="A42" s="235"/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1"/>
      <c r="R42" s="241"/>
      <c r="S42" s="241"/>
      <c r="T42" s="274"/>
      <c r="U42" s="276"/>
    </row>
    <row r="43" spans="1:21">
      <c r="A43" s="235"/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41"/>
      <c r="S43" s="241"/>
      <c r="T43" s="274"/>
      <c r="U43" s="276"/>
    </row>
    <row r="44" spans="1:21">
      <c r="A44" s="235"/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74"/>
      <c r="U44" s="276"/>
    </row>
    <row r="45" spans="1:21">
      <c r="A45" s="235"/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41"/>
      <c r="S45" s="241"/>
      <c r="T45" s="274"/>
      <c r="U45" s="276"/>
    </row>
    <row r="46" spans="1:21">
      <c r="A46" s="235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74"/>
      <c r="U46" s="276"/>
    </row>
    <row r="47" spans="1:21">
      <c r="A47" s="235"/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41"/>
      <c r="S47" s="241"/>
      <c r="T47" s="274"/>
      <c r="U47" s="276"/>
    </row>
    <row r="48" spans="1:21">
      <c r="A48" s="235"/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41"/>
      <c r="S48" s="241"/>
      <c r="T48" s="274"/>
      <c r="U48" s="276"/>
    </row>
    <row r="49" spans="1:21">
      <c r="A49" s="235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41"/>
      <c r="S49" s="241"/>
      <c r="T49" s="274"/>
      <c r="U49" s="276"/>
    </row>
    <row r="50" spans="1:21">
      <c r="A50" s="235"/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74"/>
      <c r="U50" s="276"/>
    </row>
    <row r="51" spans="1:21">
      <c r="A51" s="235"/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1"/>
      <c r="S51" s="241"/>
      <c r="T51" s="274"/>
      <c r="U51" s="276"/>
    </row>
    <row r="52" spans="1:21">
      <c r="A52" s="235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74"/>
      <c r="U52" s="276"/>
    </row>
    <row r="53" spans="1:21">
      <c r="A53" s="235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74"/>
      <c r="U53" s="276"/>
    </row>
    <row r="54" spans="1:21">
      <c r="A54" s="235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74"/>
      <c r="U54" s="276"/>
    </row>
    <row r="55" spans="1:21">
      <c r="A55" s="235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74"/>
      <c r="U55" s="276"/>
    </row>
    <row r="56" spans="1:21">
      <c r="A56" s="235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74"/>
      <c r="U56" s="276"/>
    </row>
    <row r="57" spans="1:21">
      <c r="A57" s="235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1"/>
      <c r="R57" s="241"/>
      <c r="S57" s="241"/>
      <c r="T57" s="274"/>
      <c r="U57" s="276"/>
    </row>
    <row r="58" spans="1:21">
      <c r="A58" s="235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74"/>
      <c r="U58" s="276"/>
    </row>
    <row r="59" spans="1:21">
      <c r="A59" s="235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74"/>
      <c r="U59" s="276"/>
    </row>
    <row r="60" spans="1:21">
      <c r="A60" s="235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74"/>
      <c r="U60" s="276"/>
    </row>
    <row r="61" spans="1:21">
      <c r="A61" s="235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74"/>
      <c r="U61" s="276"/>
    </row>
    <row r="62" spans="1:21">
      <c r="A62" s="235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274"/>
      <c r="U62" s="276"/>
    </row>
    <row r="63" spans="1:21">
      <c r="A63" s="235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74"/>
      <c r="U63" s="276"/>
    </row>
    <row r="64" spans="1:21">
      <c r="A64" s="235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74"/>
      <c r="U64" s="276"/>
    </row>
    <row r="65" spans="1:21">
      <c r="A65" s="235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41"/>
      <c r="S65" s="241"/>
      <c r="T65" s="274"/>
      <c r="U65" s="276"/>
    </row>
    <row r="66" spans="1:21">
      <c r="A66" s="235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74"/>
      <c r="U66" s="276"/>
    </row>
    <row r="67" spans="1:21">
      <c r="A67" s="235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274"/>
      <c r="U67" s="276"/>
    </row>
    <row r="68" spans="1:21">
      <c r="A68" s="235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274"/>
      <c r="U68" s="276"/>
    </row>
    <row r="69" spans="1:21">
      <c r="A69" s="235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41"/>
      <c r="S69" s="241"/>
      <c r="T69" s="274"/>
      <c r="U69" s="276"/>
    </row>
    <row r="70" spans="1:21">
      <c r="A70" s="235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41"/>
      <c r="S70" s="241"/>
      <c r="T70" s="274"/>
      <c r="U70" s="276"/>
    </row>
    <row r="71" spans="1:21">
      <c r="A71" s="235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41"/>
      <c r="S71" s="241"/>
      <c r="T71" s="274"/>
      <c r="U71" s="276"/>
    </row>
    <row r="72" spans="1:21">
      <c r="A72" s="235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41"/>
      <c r="S72" s="241"/>
      <c r="T72" s="274"/>
      <c r="U72" s="276"/>
    </row>
    <row r="73" spans="1:21">
      <c r="A73" s="235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41"/>
      <c r="S73" s="241"/>
      <c r="T73" s="274"/>
      <c r="U73" s="276"/>
    </row>
    <row r="74" spans="1:21">
      <c r="A74" s="235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41"/>
      <c r="S74" s="241"/>
      <c r="T74" s="274"/>
      <c r="U74" s="276"/>
    </row>
    <row r="75" spans="1:21">
      <c r="A75" s="235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1"/>
      <c r="R75" s="241"/>
      <c r="S75" s="241"/>
      <c r="T75" s="274"/>
      <c r="U75" s="276"/>
    </row>
    <row r="76" spans="1:21">
      <c r="A76" s="235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41"/>
      <c r="S76" s="241"/>
      <c r="T76" s="274"/>
      <c r="U76" s="276"/>
    </row>
    <row r="77" spans="1:21">
      <c r="A77" s="235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1"/>
      <c r="R77" s="241"/>
      <c r="S77" s="241"/>
      <c r="T77" s="274"/>
      <c r="U77" s="276"/>
    </row>
    <row r="78" spans="1:21">
      <c r="A78" s="235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1"/>
      <c r="R78" s="241"/>
      <c r="S78" s="241"/>
      <c r="T78" s="274"/>
      <c r="U78" s="276"/>
    </row>
    <row r="79" spans="1:21">
      <c r="A79" s="235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1"/>
      <c r="R79" s="241"/>
      <c r="S79" s="241"/>
      <c r="T79" s="274"/>
      <c r="U79" s="276"/>
    </row>
    <row r="80" spans="1:21">
      <c r="A80" s="235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41"/>
      <c r="S80" s="241"/>
      <c r="T80" s="274"/>
      <c r="U80" s="276"/>
    </row>
    <row r="81" spans="1:21">
      <c r="A81" s="235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74"/>
      <c r="U81" s="276"/>
    </row>
    <row r="82" spans="1:21">
      <c r="A82" s="235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1"/>
      <c r="R82" s="241"/>
      <c r="S82" s="241"/>
      <c r="T82" s="274"/>
      <c r="U82" s="276"/>
    </row>
    <row r="83" spans="1:21">
      <c r="A83" s="235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1"/>
      <c r="R83" s="241"/>
      <c r="S83" s="241"/>
      <c r="T83" s="274"/>
      <c r="U83" s="276"/>
    </row>
    <row r="84" spans="1:21">
      <c r="A84" s="235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41"/>
      <c r="S84" s="241"/>
      <c r="T84" s="274"/>
      <c r="U84" s="276"/>
    </row>
    <row r="85" spans="1:21">
      <c r="A85" s="235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41"/>
      <c r="S85" s="241"/>
      <c r="T85" s="274"/>
      <c r="U85" s="276"/>
    </row>
    <row r="86" spans="1:21">
      <c r="A86" s="235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1"/>
      <c r="R86" s="241"/>
      <c r="S86" s="241"/>
      <c r="T86" s="274"/>
      <c r="U86" s="276"/>
    </row>
    <row r="87" spans="1:21">
      <c r="A87" s="235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1"/>
      <c r="R87" s="241"/>
      <c r="S87" s="241"/>
      <c r="T87" s="274"/>
      <c r="U87" s="276"/>
    </row>
    <row r="88" spans="1:21">
      <c r="A88" s="2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1"/>
      <c r="R88" s="241"/>
      <c r="S88" s="241"/>
      <c r="T88" s="274"/>
      <c r="U88" s="276"/>
    </row>
    <row r="89" spans="1:21">
      <c r="A89" s="235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1"/>
      <c r="R89" s="241"/>
      <c r="S89" s="241"/>
      <c r="T89" s="274"/>
      <c r="U89" s="276"/>
    </row>
    <row r="90" spans="1:21">
      <c r="A90" s="235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1"/>
      <c r="R90" s="241"/>
      <c r="S90" s="241"/>
      <c r="T90" s="274"/>
      <c r="U90" s="276"/>
    </row>
    <row r="91" spans="1:21">
      <c r="A91" s="235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74"/>
      <c r="U91" s="276"/>
    </row>
    <row r="92" spans="1:21">
      <c r="A92" s="235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1"/>
      <c r="R92" s="241"/>
      <c r="S92" s="241"/>
      <c r="T92" s="274"/>
      <c r="U92" s="276"/>
    </row>
    <row r="93" spans="1:21">
      <c r="A93" s="235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1"/>
      <c r="R93" s="241"/>
      <c r="S93" s="241"/>
      <c r="T93" s="274"/>
      <c r="U93" s="276"/>
    </row>
    <row r="94" spans="1:21">
      <c r="A94" s="235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1"/>
      <c r="R94" s="241"/>
      <c r="S94" s="241"/>
      <c r="T94" s="274"/>
      <c r="U94" s="276"/>
    </row>
    <row r="95" spans="1:21">
      <c r="A95" s="235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1"/>
      <c r="R95" s="241"/>
      <c r="S95" s="241"/>
      <c r="T95" s="274"/>
      <c r="U95" s="276"/>
    </row>
    <row r="96" spans="1:21">
      <c r="A96" s="235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1"/>
      <c r="R96" s="241"/>
      <c r="S96" s="241"/>
      <c r="T96" s="274"/>
      <c r="U96" s="276"/>
    </row>
    <row r="97" spans="1:21">
      <c r="A97" s="235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41"/>
      <c r="S97" s="241"/>
      <c r="T97" s="274"/>
      <c r="U97" s="276"/>
    </row>
    <row r="98" spans="1:21">
      <c r="A98" s="235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41"/>
      <c r="S98" s="241"/>
      <c r="T98" s="274"/>
      <c r="U98" s="276"/>
    </row>
    <row r="99" spans="1:21">
      <c r="A99" s="235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1"/>
      <c r="R99" s="241"/>
      <c r="S99" s="241"/>
      <c r="T99" s="274"/>
      <c r="U99" s="276"/>
    </row>
    <row r="100" spans="1:21">
      <c r="A100" s="235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1"/>
      <c r="R100" s="241"/>
      <c r="S100" s="241"/>
      <c r="T100" s="274"/>
      <c r="U100" s="276"/>
    </row>
    <row r="101" spans="1:21">
      <c r="A101" s="235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1"/>
      <c r="R101" s="241"/>
      <c r="S101" s="241"/>
      <c r="T101" s="274"/>
      <c r="U101" s="276"/>
    </row>
    <row r="102" spans="1:21">
      <c r="A102" s="235"/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  <c r="O102" s="241"/>
      <c r="P102" s="241"/>
      <c r="Q102" s="241"/>
      <c r="R102" s="241"/>
      <c r="S102" s="241"/>
      <c r="T102" s="274"/>
      <c r="U102" s="276"/>
    </row>
    <row r="103" spans="1:21">
      <c r="A103" s="235"/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  <c r="O103" s="241"/>
      <c r="P103" s="241"/>
      <c r="Q103" s="241"/>
      <c r="R103" s="241"/>
      <c r="S103" s="241"/>
      <c r="T103" s="274"/>
      <c r="U103" s="276"/>
    </row>
    <row r="104" spans="1:21">
      <c r="A104" s="235"/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1"/>
      <c r="R104" s="241"/>
      <c r="S104" s="241"/>
      <c r="T104" s="274"/>
      <c r="U104" s="276"/>
    </row>
    <row r="105" spans="1:21">
      <c r="A105" s="235"/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Q105" s="241"/>
      <c r="R105" s="241"/>
      <c r="S105" s="241"/>
      <c r="T105" s="274"/>
      <c r="U105" s="276"/>
    </row>
    <row r="106" spans="1:21">
      <c r="A106" s="235"/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1"/>
      <c r="R106" s="241"/>
      <c r="S106" s="241"/>
      <c r="T106" s="274"/>
      <c r="U106" s="276"/>
    </row>
    <row r="107" spans="1:21">
      <c r="A107" s="235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1"/>
      <c r="R107" s="241"/>
      <c r="S107" s="241"/>
      <c r="T107" s="274"/>
      <c r="U107" s="276"/>
    </row>
    <row r="108" spans="1:21">
      <c r="A108" s="235"/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  <c r="O108" s="241"/>
      <c r="P108" s="241"/>
      <c r="Q108" s="241"/>
      <c r="R108" s="241"/>
      <c r="S108" s="241"/>
      <c r="T108" s="274"/>
      <c r="U108" s="276"/>
    </row>
    <row r="109" spans="1:21">
      <c r="A109" s="235"/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  <c r="O109" s="241"/>
      <c r="P109" s="241"/>
      <c r="Q109" s="241"/>
      <c r="R109" s="241"/>
      <c r="S109" s="241"/>
      <c r="T109" s="274"/>
      <c r="U109" s="276"/>
    </row>
    <row r="110" spans="1:21">
      <c r="A110" s="235"/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  <c r="O110" s="241"/>
      <c r="P110" s="241"/>
      <c r="Q110" s="241"/>
      <c r="R110" s="241"/>
      <c r="S110" s="241"/>
      <c r="T110" s="274"/>
      <c r="U110" s="276"/>
    </row>
    <row r="111" spans="1:21">
      <c r="A111" s="235"/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  <c r="O111" s="241"/>
      <c r="P111" s="241"/>
      <c r="Q111" s="241"/>
      <c r="R111" s="241"/>
      <c r="S111" s="241"/>
      <c r="T111" s="274"/>
      <c r="U111" s="276"/>
    </row>
    <row r="112" spans="1:21">
      <c r="A112" s="235"/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  <c r="O112" s="241"/>
      <c r="P112" s="241"/>
      <c r="Q112" s="241"/>
      <c r="R112" s="241"/>
      <c r="S112" s="241"/>
      <c r="T112" s="274"/>
      <c r="U112" s="276"/>
    </row>
    <row r="113" spans="1:21">
      <c r="A113" s="235"/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  <c r="O113" s="241"/>
      <c r="P113" s="241"/>
      <c r="Q113" s="241"/>
      <c r="R113" s="241"/>
      <c r="S113" s="241"/>
      <c r="T113" s="274"/>
      <c r="U113" s="276"/>
    </row>
    <row r="114" spans="1:21">
      <c r="A114" s="235"/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  <c r="O114" s="241"/>
      <c r="P114" s="241"/>
      <c r="Q114" s="241"/>
      <c r="R114" s="241"/>
      <c r="S114" s="241"/>
      <c r="T114" s="274"/>
      <c r="U114" s="276"/>
    </row>
    <row r="115" spans="1:21">
      <c r="A115" s="235"/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  <c r="O115" s="241"/>
      <c r="P115" s="241"/>
      <c r="Q115" s="241"/>
      <c r="R115" s="241"/>
      <c r="S115" s="241"/>
      <c r="T115" s="274"/>
      <c r="U115" s="276"/>
    </row>
    <row r="116" spans="1:21">
      <c r="A116" s="235"/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  <c r="O116" s="241"/>
      <c r="P116" s="241"/>
      <c r="Q116" s="241"/>
      <c r="R116" s="241"/>
      <c r="S116" s="241"/>
      <c r="T116" s="274"/>
      <c r="U116" s="276"/>
    </row>
    <row r="117" spans="1:21">
      <c r="A117" s="2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  <c r="O117" s="241"/>
      <c r="P117" s="241"/>
      <c r="Q117" s="241"/>
      <c r="R117" s="241"/>
      <c r="S117" s="241"/>
      <c r="T117" s="274"/>
      <c r="U117" s="276"/>
    </row>
    <row r="118" spans="1:21">
      <c r="A118" s="235"/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  <c r="O118" s="241"/>
      <c r="P118" s="241"/>
      <c r="Q118" s="241"/>
      <c r="R118" s="241"/>
      <c r="S118" s="241"/>
      <c r="T118" s="274"/>
      <c r="U118" s="276"/>
    </row>
    <row r="119" spans="1:21">
      <c r="A119" s="235"/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  <c r="O119" s="241"/>
      <c r="P119" s="241"/>
      <c r="Q119" s="241"/>
      <c r="R119" s="241"/>
      <c r="S119" s="241"/>
      <c r="T119" s="274"/>
      <c r="U119" s="276"/>
    </row>
    <row r="120" spans="1:21">
      <c r="A120" s="235"/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  <c r="O120" s="241"/>
      <c r="P120" s="241"/>
      <c r="Q120" s="241"/>
      <c r="R120" s="241"/>
      <c r="S120" s="241"/>
      <c r="T120" s="274"/>
      <c r="U120" s="276"/>
    </row>
    <row r="121" spans="1:21">
      <c r="A121" s="235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1"/>
      <c r="P121" s="241"/>
      <c r="Q121" s="241"/>
      <c r="R121" s="241"/>
      <c r="S121" s="241"/>
      <c r="T121" s="274"/>
      <c r="U121" s="276"/>
    </row>
    <row r="122" spans="1:21">
      <c r="A122" s="235"/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  <c r="O122" s="241"/>
      <c r="P122" s="241"/>
      <c r="Q122" s="241"/>
      <c r="R122" s="241"/>
      <c r="S122" s="241"/>
      <c r="T122" s="274"/>
      <c r="U122" s="276"/>
    </row>
    <row r="123" spans="1:21">
      <c r="A123" s="235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  <c r="O123" s="241"/>
      <c r="P123" s="241"/>
      <c r="Q123" s="241"/>
      <c r="R123" s="241"/>
      <c r="S123" s="241"/>
      <c r="T123" s="274"/>
      <c r="U123" s="276"/>
    </row>
    <row r="124" spans="1:21">
      <c r="A124" s="235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241"/>
      <c r="Q124" s="241"/>
      <c r="R124" s="241"/>
      <c r="S124" s="241"/>
      <c r="T124" s="274"/>
      <c r="U124" s="276"/>
    </row>
    <row r="125" spans="1:21">
      <c r="A125" s="235"/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  <c r="O125" s="241"/>
      <c r="P125" s="241"/>
      <c r="Q125" s="241"/>
      <c r="R125" s="241"/>
      <c r="S125" s="241"/>
      <c r="T125" s="274"/>
      <c r="U125" s="276"/>
    </row>
    <row r="126" spans="1:21">
      <c r="A126" s="235"/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  <c r="O126" s="241"/>
      <c r="P126" s="241"/>
      <c r="Q126" s="241"/>
      <c r="R126" s="241"/>
      <c r="S126" s="241"/>
      <c r="T126" s="274"/>
      <c r="U126" s="276"/>
    </row>
    <row r="127" spans="1:21">
      <c r="A127" s="235"/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241"/>
      <c r="Q127" s="241"/>
      <c r="R127" s="241"/>
      <c r="S127" s="241"/>
      <c r="T127" s="274"/>
      <c r="U127" s="276"/>
    </row>
    <row r="128" spans="1:21">
      <c r="A128" s="235"/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  <c r="O128" s="241"/>
      <c r="P128" s="241"/>
      <c r="Q128" s="241"/>
      <c r="R128" s="241"/>
      <c r="S128" s="241"/>
      <c r="T128" s="274"/>
      <c r="U128" s="276"/>
    </row>
    <row r="129" spans="1:21">
      <c r="A129" s="235"/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  <c r="O129" s="241"/>
      <c r="P129" s="241"/>
      <c r="Q129" s="241"/>
      <c r="R129" s="241"/>
      <c r="S129" s="241"/>
      <c r="T129" s="274"/>
      <c r="U129" s="276"/>
    </row>
    <row r="130" spans="1:21">
      <c r="A130" s="235"/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  <c r="O130" s="241"/>
      <c r="P130" s="241"/>
      <c r="Q130" s="241"/>
      <c r="R130" s="241"/>
      <c r="S130" s="241"/>
      <c r="T130" s="274"/>
      <c r="U130" s="276"/>
    </row>
    <row r="131" spans="1:21">
      <c r="A131" s="235"/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  <c r="O131" s="241"/>
      <c r="P131" s="241"/>
      <c r="Q131" s="241"/>
      <c r="R131" s="241"/>
      <c r="S131" s="241"/>
      <c r="T131" s="274"/>
      <c r="U131" s="276"/>
    </row>
    <row r="132" spans="1:21">
      <c r="A132" s="235"/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241"/>
      <c r="Q132" s="241"/>
      <c r="R132" s="241"/>
      <c r="S132" s="241"/>
      <c r="T132" s="274"/>
      <c r="U132" s="276"/>
    </row>
    <row r="133" spans="1:21">
      <c r="A133" s="235"/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  <c r="O133" s="241"/>
      <c r="P133" s="241"/>
      <c r="Q133" s="241"/>
      <c r="R133" s="241"/>
      <c r="S133" s="241"/>
      <c r="T133" s="274"/>
      <c r="U133" s="276"/>
    </row>
    <row r="134" spans="1:21">
      <c r="A134" s="235"/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  <c r="O134" s="241"/>
      <c r="P134" s="241"/>
      <c r="Q134" s="241"/>
      <c r="R134" s="241"/>
      <c r="S134" s="241"/>
      <c r="T134" s="274"/>
      <c r="U134" s="276"/>
    </row>
    <row r="135" spans="1:21">
      <c r="A135" s="235"/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241"/>
      <c r="Q135" s="241"/>
      <c r="R135" s="241"/>
      <c r="S135" s="241"/>
      <c r="T135" s="274"/>
      <c r="U135" s="276"/>
    </row>
    <row r="136" spans="1:21">
      <c r="A136" s="235"/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  <c r="O136" s="241"/>
      <c r="P136" s="241"/>
      <c r="Q136" s="241"/>
      <c r="R136" s="241"/>
      <c r="S136" s="241"/>
      <c r="T136" s="274"/>
      <c r="U136" s="276"/>
    </row>
    <row r="137" spans="1:21">
      <c r="A137" s="235"/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  <c r="O137" s="241"/>
      <c r="P137" s="241"/>
      <c r="Q137" s="241"/>
      <c r="R137" s="241"/>
      <c r="S137" s="241"/>
      <c r="T137" s="274"/>
      <c r="U137" s="276"/>
    </row>
    <row r="138" spans="1:21">
      <c r="A138" s="235"/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  <c r="P138" s="241"/>
      <c r="Q138" s="241"/>
      <c r="R138" s="241"/>
      <c r="S138" s="241"/>
      <c r="T138" s="274"/>
      <c r="U138" s="276"/>
    </row>
    <row r="139" spans="1:21">
      <c r="A139" s="235"/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  <c r="P139" s="241"/>
      <c r="Q139" s="241"/>
      <c r="R139" s="241"/>
      <c r="S139" s="241"/>
      <c r="T139" s="274"/>
      <c r="U139" s="276"/>
    </row>
    <row r="140" spans="1:21">
      <c r="A140" s="235"/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1"/>
      <c r="R140" s="241"/>
      <c r="S140" s="241"/>
      <c r="T140" s="274"/>
      <c r="U140" s="276"/>
    </row>
    <row r="141" spans="1:21">
      <c r="A141" s="235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  <c r="O141" s="241"/>
      <c r="P141" s="241"/>
      <c r="Q141" s="241"/>
      <c r="R141" s="241"/>
      <c r="S141" s="241"/>
      <c r="T141" s="274"/>
      <c r="U141" s="276"/>
    </row>
    <row r="142" spans="1:21">
      <c r="A142" s="235"/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  <c r="O142" s="241"/>
      <c r="P142" s="241"/>
      <c r="Q142" s="241"/>
      <c r="R142" s="241"/>
      <c r="S142" s="241"/>
      <c r="T142" s="274"/>
      <c r="U142" s="276"/>
    </row>
    <row r="143" spans="1:21">
      <c r="A143" s="235"/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  <c r="O143" s="241"/>
      <c r="P143" s="241"/>
      <c r="Q143" s="241"/>
      <c r="R143" s="241"/>
      <c r="S143" s="241"/>
      <c r="T143" s="274"/>
      <c r="U143" s="276"/>
    </row>
    <row r="144" spans="1:21">
      <c r="A144" s="235"/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  <c r="O144" s="241"/>
      <c r="P144" s="241"/>
      <c r="Q144" s="241"/>
      <c r="R144" s="241"/>
      <c r="S144" s="241"/>
      <c r="T144" s="274"/>
      <c r="U144" s="276"/>
    </row>
    <row r="145" spans="1:21">
      <c r="A145" s="235"/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  <c r="O145" s="241"/>
      <c r="P145" s="241"/>
      <c r="Q145" s="241"/>
      <c r="R145" s="241"/>
      <c r="S145" s="241"/>
      <c r="T145" s="274"/>
      <c r="U145" s="276"/>
    </row>
    <row r="146" spans="1:21">
      <c r="A146" s="235"/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  <c r="O146" s="241"/>
      <c r="P146" s="241"/>
      <c r="Q146" s="241"/>
      <c r="R146" s="241"/>
      <c r="S146" s="241"/>
      <c r="T146" s="274"/>
      <c r="U146" s="276"/>
    </row>
    <row r="147" spans="1:21">
      <c r="A147" s="235"/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  <c r="O147" s="241"/>
      <c r="P147" s="241"/>
      <c r="Q147" s="241"/>
      <c r="R147" s="241"/>
      <c r="S147" s="241"/>
      <c r="T147" s="274"/>
      <c r="U147" s="276"/>
    </row>
    <row r="148" spans="1:21">
      <c r="A148" s="235"/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1"/>
      <c r="P148" s="241"/>
      <c r="Q148" s="241"/>
      <c r="R148" s="241"/>
      <c r="S148" s="241"/>
      <c r="T148" s="274"/>
      <c r="U148" s="276"/>
    </row>
    <row r="149" spans="1:21">
      <c r="A149" s="235"/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  <c r="O149" s="241"/>
      <c r="P149" s="241"/>
      <c r="Q149" s="241"/>
      <c r="R149" s="241"/>
      <c r="S149" s="241"/>
      <c r="T149" s="274"/>
      <c r="U149" s="276"/>
    </row>
    <row r="150" spans="1:21">
      <c r="A150" s="235"/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  <c r="O150" s="241"/>
      <c r="P150" s="241"/>
      <c r="Q150" s="241"/>
      <c r="R150" s="241"/>
      <c r="S150" s="241"/>
      <c r="T150" s="274"/>
      <c r="U150" s="276"/>
    </row>
    <row r="151" spans="1:21">
      <c r="A151" s="235"/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  <c r="O151" s="241"/>
      <c r="P151" s="241"/>
      <c r="Q151" s="241"/>
      <c r="R151" s="241"/>
      <c r="S151" s="241"/>
      <c r="T151" s="274"/>
      <c r="U151" s="276"/>
    </row>
    <row r="152" spans="1:21">
      <c r="A152" s="235"/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1"/>
      <c r="R152" s="241"/>
      <c r="S152" s="241"/>
      <c r="T152" s="274"/>
      <c r="U152" s="276"/>
    </row>
    <row r="153" spans="1:21">
      <c r="A153" s="235"/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  <c r="O153" s="241"/>
      <c r="P153" s="241"/>
      <c r="Q153" s="241"/>
      <c r="R153" s="241"/>
      <c r="S153" s="241"/>
      <c r="T153" s="274"/>
      <c r="U153" s="276"/>
    </row>
    <row r="154" spans="1:21">
      <c r="A154" s="235"/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  <c r="O154" s="241"/>
      <c r="P154" s="241"/>
      <c r="Q154" s="241"/>
      <c r="R154" s="241"/>
      <c r="S154" s="241"/>
      <c r="T154" s="274"/>
      <c r="U154" s="276"/>
    </row>
    <row r="155" spans="1:21">
      <c r="A155" s="235"/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  <c r="O155" s="241"/>
      <c r="P155" s="241"/>
      <c r="Q155" s="241"/>
      <c r="R155" s="241"/>
      <c r="S155" s="241"/>
      <c r="T155" s="274"/>
      <c r="U155" s="276"/>
    </row>
    <row r="156" spans="1:21">
      <c r="A156" s="235"/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  <c r="O156" s="241"/>
      <c r="P156" s="241"/>
      <c r="Q156" s="241"/>
      <c r="R156" s="241"/>
      <c r="S156" s="241"/>
      <c r="T156" s="274"/>
      <c r="U156" s="276"/>
    </row>
    <row r="157" spans="1:21">
      <c r="A157" s="235"/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  <c r="O157" s="241"/>
      <c r="P157" s="241"/>
      <c r="Q157" s="241"/>
      <c r="R157" s="241"/>
      <c r="S157" s="241"/>
      <c r="T157" s="274"/>
      <c r="U157" s="276"/>
    </row>
    <row r="158" spans="1:21">
      <c r="A158" s="235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  <c r="O158" s="241"/>
      <c r="P158" s="241"/>
      <c r="Q158" s="241"/>
      <c r="R158" s="241"/>
      <c r="S158" s="241"/>
      <c r="T158" s="274"/>
      <c r="U158" s="276"/>
    </row>
    <row r="159" spans="1:21">
      <c r="A159" s="235"/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  <c r="O159" s="241"/>
      <c r="P159" s="241"/>
      <c r="Q159" s="241"/>
      <c r="R159" s="241"/>
      <c r="S159" s="241"/>
      <c r="T159" s="274"/>
      <c r="U159" s="276"/>
    </row>
    <row r="160" spans="1:21">
      <c r="A160" s="235"/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  <c r="O160" s="241"/>
      <c r="P160" s="241"/>
      <c r="Q160" s="241"/>
      <c r="R160" s="241"/>
      <c r="S160" s="241"/>
      <c r="T160" s="274"/>
      <c r="U160" s="276"/>
    </row>
    <row r="161" spans="1:21">
      <c r="A161" s="235"/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  <c r="O161" s="241"/>
      <c r="P161" s="241"/>
      <c r="Q161" s="241"/>
      <c r="R161" s="241"/>
      <c r="S161" s="241"/>
      <c r="T161" s="274"/>
      <c r="U161" s="276"/>
    </row>
    <row r="162" spans="1:21">
      <c r="A162" s="235"/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  <c r="O162" s="241"/>
      <c r="P162" s="241"/>
      <c r="Q162" s="241"/>
      <c r="R162" s="241"/>
      <c r="S162" s="241"/>
      <c r="T162" s="274"/>
      <c r="U162" s="276"/>
    </row>
    <row r="163" spans="1:21">
      <c r="A163" s="235"/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  <c r="O163" s="241"/>
      <c r="P163" s="241"/>
      <c r="Q163" s="241"/>
      <c r="R163" s="241"/>
      <c r="S163" s="241"/>
      <c r="T163" s="274"/>
      <c r="U163" s="276"/>
    </row>
    <row r="164" spans="1:21">
      <c r="A164" s="235"/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  <c r="O164" s="241"/>
      <c r="P164" s="241"/>
      <c r="Q164" s="241"/>
      <c r="R164" s="241"/>
      <c r="S164" s="241"/>
      <c r="T164" s="274"/>
      <c r="U164" s="276"/>
    </row>
    <row r="165" spans="1:21">
      <c r="A165" s="235"/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  <c r="O165" s="241"/>
      <c r="P165" s="241"/>
      <c r="Q165" s="241"/>
      <c r="R165" s="241"/>
      <c r="S165" s="241"/>
      <c r="T165" s="274"/>
      <c r="U165" s="276"/>
    </row>
    <row r="166" spans="1:21">
      <c r="A166" s="235"/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  <c r="O166" s="241"/>
      <c r="P166" s="241"/>
      <c r="Q166" s="241"/>
      <c r="R166" s="241"/>
      <c r="S166" s="241"/>
      <c r="T166" s="274"/>
      <c r="U166" s="276"/>
    </row>
    <row r="167" spans="1:21">
      <c r="A167" s="235"/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  <c r="O167" s="241"/>
      <c r="P167" s="241"/>
      <c r="Q167" s="241"/>
      <c r="R167" s="241"/>
      <c r="S167" s="241"/>
      <c r="T167" s="274"/>
      <c r="U167" s="276"/>
    </row>
    <row r="168" spans="1:21">
      <c r="A168" s="235"/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  <c r="O168" s="241"/>
      <c r="P168" s="241"/>
      <c r="Q168" s="241"/>
      <c r="R168" s="241"/>
      <c r="S168" s="241"/>
      <c r="T168" s="274"/>
      <c r="U168" s="276"/>
    </row>
    <row r="169" spans="1:21">
      <c r="A169" s="235"/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  <c r="O169" s="241"/>
      <c r="P169" s="241"/>
      <c r="Q169" s="241"/>
      <c r="R169" s="241"/>
      <c r="S169" s="241"/>
      <c r="T169" s="274"/>
      <c r="U169" s="276"/>
    </row>
    <row r="170" spans="1:21">
      <c r="A170" s="235"/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  <c r="O170" s="241"/>
      <c r="P170" s="241"/>
      <c r="Q170" s="241"/>
      <c r="R170" s="241"/>
      <c r="S170" s="241"/>
      <c r="T170" s="274"/>
      <c r="U170" s="276"/>
    </row>
    <row r="171" spans="1:21">
      <c r="A171" s="235"/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  <c r="O171" s="241"/>
      <c r="P171" s="241"/>
      <c r="Q171" s="241"/>
      <c r="R171" s="241"/>
      <c r="S171" s="241"/>
      <c r="T171" s="274"/>
      <c r="U171" s="276"/>
    </row>
    <row r="172" spans="1:21">
      <c r="A172" s="235"/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  <c r="O172" s="241"/>
      <c r="P172" s="241"/>
      <c r="Q172" s="241"/>
      <c r="R172" s="241"/>
      <c r="S172" s="241"/>
      <c r="T172" s="274"/>
      <c r="U172" s="276"/>
    </row>
    <row r="173" spans="1:21">
      <c r="A173" s="235"/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  <c r="O173" s="241"/>
      <c r="P173" s="241"/>
      <c r="Q173" s="241"/>
      <c r="R173" s="241"/>
      <c r="S173" s="241"/>
      <c r="T173" s="274"/>
      <c r="U173" s="276"/>
    </row>
    <row r="174" spans="1:21">
      <c r="A174" s="235"/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  <c r="O174" s="241"/>
      <c r="P174" s="241"/>
      <c r="Q174" s="241"/>
      <c r="R174" s="241"/>
      <c r="S174" s="241"/>
      <c r="T174" s="274"/>
      <c r="U174" s="276"/>
    </row>
    <row r="175" spans="1:21">
      <c r="A175" s="235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1"/>
      <c r="P175" s="241"/>
      <c r="Q175" s="241"/>
      <c r="R175" s="241"/>
      <c r="S175" s="241"/>
      <c r="T175" s="274"/>
      <c r="U175" s="276"/>
    </row>
    <row r="176" spans="1:21">
      <c r="A176" s="235"/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  <c r="O176" s="241"/>
      <c r="P176" s="241"/>
      <c r="Q176" s="241"/>
      <c r="R176" s="241"/>
      <c r="S176" s="241"/>
      <c r="T176" s="274"/>
      <c r="U176" s="276"/>
    </row>
    <row r="177" spans="1:21">
      <c r="A177" s="235"/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  <c r="O177" s="241"/>
      <c r="P177" s="241"/>
      <c r="Q177" s="241"/>
      <c r="R177" s="241"/>
      <c r="S177" s="241"/>
      <c r="T177" s="274"/>
      <c r="U177" s="276"/>
    </row>
    <row r="178" spans="1:21">
      <c r="A178" s="235"/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  <c r="O178" s="241"/>
      <c r="P178" s="241"/>
      <c r="Q178" s="241"/>
      <c r="R178" s="241"/>
      <c r="S178" s="241"/>
      <c r="T178" s="274"/>
      <c r="U178" s="276"/>
    </row>
    <row r="179" spans="1:21">
      <c r="A179" s="235"/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  <c r="O179" s="241"/>
      <c r="P179" s="241"/>
      <c r="Q179" s="241"/>
      <c r="R179" s="241"/>
      <c r="S179" s="241"/>
      <c r="T179" s="274"/>
      <c r="U179" s="276"/>
    </row>
    <row r="180" spans="1:21">
      <c r="A180" s="235"/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  <c r="O180" s="241"/>
      <c r="P180" s="241"/>
      <c r="Q180" s="241"/>
      <c r="R180" s="241"/>
      <c r="S180" s="241"/>
      <c r="T180" s="274"/>
      <c r="U180" s="276"/>
    </row>
    <row r="181" spans="1:21">
      <c r="A181" s="235"/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  <c r="O181" s="241"/>
      <c r="P181" s="241"/>
      <c r="Q181" s="241"/>
      <c r="R181" s="241"/>
      <c r="S181" s="241"/>
      <c r="T181" s="274"/>
      <c r="U181" s="276"/>
    </row>
    <row r="182" spans="1:21">
      <c r="A182" s="235"/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  <c r="O182" s="241"/>
      <c r="P182" s="241"/>
      <c r="Q182" s="241"/>
      <c r="R182" s="241"/>
      <c r="S182" s="241"/>
      <c r="T182" s="274"/>
      <c r="U182" s="276"/>
    </row>
    <row r="183" spans="1:21">
      <c r="A183" s="235"/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  <c r="O183" s="241"/>
      <c r="P183" s="241"/>
      <c r="Q183" s="241"/>
      <c r="R183" s="241"/>
      <c r="S183" s="241"/>
      <c r="T183" s="274"/>
      <c r="U183" s="276"/>
    </row>
    <row r="184" spans="1:21">
      <c r="A184" s="235"/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  <c r="O184" s="241"/>
      <c r="P184" s="241"/>
      <c r="Q184" s="241"/>
      <c r="R184" s="241"/>
      <c r="S184" s="241"/>
      <c r="T184" s="274"/>
      <c r="U184" s="276"/>
    </row>
    <row r="185" spans="1:21">
      <c r="A185" s="235"/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  <c r="O185" s="241"/>
      <c r="P185" s="241"/>
      <c r="Q185" s="241"/>
      <c r="R185" s="241"/>
      <c r="S185" s="241"/>
      <c r="T185" s="274"/>
      <c r="U185" s="276"/>
    </row>
    <row r="186" spans="1:21">
      <c r="A186" s="235"/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  <c r="O186" s="241"/>
      <c r="P186" s="241"/>
      <c r="Q186" s="241"/>
      <c r="R186" s="241"/>
      <c r="S186" s="241"/>
      <c r="T186" s="274"/>
      <c r="U186" s="276"/>
    </row>
    <row r="187" spans="1:21">
      <c r="A187" s="235"/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  <c r="O187" s="241"/>
      <c r="P187" s="241"/>
      <c r="Q187" s="241"/>
      <c r="R187" s="241"/>
      <c r="S187" s="241"/>
      <c r="T187" s="274"/>
      <c r="U187" s="276"/>
    </row>
    <row r="188" spans="1:21">
      <c r="A188" s="235"/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  <c r="O188" s="241"/>
      <c r="P188" s="241"/>
      <c r="Q188" s="241"/>
      <c r="R188" s="241"/>
      <c r="S188" s="241"/>
      <c r="T188" s="274"/>
      <c r="U188" s="276"/>
    </row>
    <row r="189" spans="1:21">
      <c r="A189" s="235"/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  <c r="O189" s="241"/>
      <c r="P189" s="241"/>
      <c r="Q189" s="241"/>
      <c r="R189" s="241"/>
      <c r="S189" s="241"/>
      <c r="T189" s="274"/>
      <c r="U189" s="276"/>
    </row>
    <row r="190" spans="1:21">
      <c r="A190" s="235"/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  <c r="O190" s="241"/>
      <c r="P190" s="241"/>
      <c r="Q190" s="241"/>
      <c r="R190" s="241"/>
      <c r="S190" s="241"/>
      <c r="T190" s="274"/>
      <c r="U190" s="276"/>
    </row>
    <row r="191" spans="1:21">
      <c r="A191" s="235"/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  <c r="O191" s="241"/>
      <c r="P191" s="241"/>
      <c r="Q191" s="241"/>
      <c r="R191" s="241"/>
      <c r="S191" s="241"/>
      <c r="T191" s="274"/>
      <c r="U191" s="276"/>
    </row>
    <row r="192" spans="1:21">
      <c r="A192" s="235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  <c r="O192" s="241"/>
      <c r="P192" s="241"/>
      <c r="Q192" s="241"/>
      <c r="R192" s="241"/>
      <c r="S192" s="241"/>
      <c r="T192" s="274"/>
      <c r="U192" s="276"/>
    </row>
    <row r="193" spans="1:21">
      <c r="A193" s="235"/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1"/>
      <c r="R193" s="241"/>
      <c r="S193" s="241"/>
      <c r="T193" s="274"/>
      <c r="U193" s="276"/>
    </row>
    <row r="194" spans="1:21">
      <c r="A194" s="235"/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  <c r="O194" s="241"/>
      <c r="P194" s="241"/>
      <c r="Q194" s="241"/>
      <c r="R194" s="241"/>
      <c r="S194" s="241"/>
      <c r="T194" s="274"/>
      <c r="U194" s="276"/>
    </row>
    <row r="195" spans="1:21">
      <c r="A195" s="235"/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  <c r="O195" s="241"/>
      <c r="P195" s="241"/>
      <c r="Q195" s="241"/>
      <c r="R195" s="241"/>
      <c r="S195" s="241"/>
      <c r="T195" s="274"/>
      <c r="U195" s="276"/>
    </row>
    <row r="196" spans="1:21">
      <c r="A196" s="235"/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  <c r="O196" s="241"/>
      <c r="P196" s="241"/>
      <c r="Q196" s="241"/>
      <c r="R196" s="241"/>
      <c r="S196" s="241"/>
      <c r="T196" s="274"/>
      <c r="U196" s="276"/>
    </row>
    <row r="197" spans="1:21">
      <c r="A197" s="235"/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  <c r="O197" s="241"/>
      <c r="P197" s="241"/>
      <c r="Q197" s="241"/>
      <c r="R197" s="241"/>
      <c r="S197" s="241"/>
      <c r="T197" s="274"/>
      <c r="U197" s="276"/>
    </row>
    <row r="198" spans="1:21">
      <c r="A198" s="235"/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  <c r="O198" s="241"/>
      <c r="P198" s="241"/>
      <c r="Q198" s="241"/>
      <c r="R198" s="241"/>
      <c r="S198" s="241"/>
      <c r="T198" s="274"/>
      <c r="U198" s="276"/>
    </row>
    <row r="199" spans="1:21">
      <c r="A199" s="235"/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  <c r="O199" s="241"/>
      <c r="P199" s="241"/>
      <c r="Q199" s="241"/>
      <c r="R199" s="241"/>
      <c r="S199" s="241"/>
      <c r="T199" s="274"/>
      <c r="U199" s="276"/>
    </row>
    <row r="200" spans="1:21">
      <c r="A200" s="235"/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  <c r="O200" s="241"/>
      <c r="P200" s="241"/>
      <c r="Q200" s="241"/>
      <c r="R200" s="241"/>
      <c r="S200" s="241"/>
      <c r="T200" s="274"/>
      <c r="U200" s="276"/>
    </row>
    <row r="201" spans="1:21">
      <c r="A201" s="235"/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  <c r="O201" s="241"/>
      <c r="P201" s="241"/>
      <c r="Q201" s="241"/>
      <c r="R201" s="241"/>
      <c r="S201" s="241"/>
      <c r="T201" s="274"/>
      <c r="U201" s="276"/>
    </row>
    <row r="202" spans="1:21">
      <c r="A202" s="235"/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  <c r="O202" s="241"/>
      <c r="P202" s="241"/>
      <c r="Q202" s="241"/>
      <c r="R202" s="241"/>
      <c r="S202" s="241"/>
      <c r="T202" s="274"/>
      <c r="U202" s="276"/>
    </row>
    <row r="203" spans="1:21">
      <c r="A203" s="235"/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  <c r="O203" s="241"/>
      <c r="P203" s="241"/>
      <c r="Q203" s="241"/>
      <c r="R203" s="241"/>
      <c r="S203" s="241"/>
      <c r="T203" s="274"/>
      <c r="U203" s="276"/>
    </row>
    <row r="204" spans="1:21">
      <c r="A204" s="235"/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  <c r="O204" s="241"/>
      <c r="P204" s="241"/>
      <c r="Q204" s="241"/>
      <c r="R204" s="241"/>
      <c r="S204" s="241"/>
      <c r="T204" s="274"/>
      <c r="U204" s="276"/>
    </row>
    <row r="205" spans="1:21">
      <c r="A205" s="235"/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  <c r="O205" s="241"/>
      <c r="P205" s="241"/>
      <c r="Q205" s="241"/>
      <c r="R205" s="241"/>
      <c r="S205" s="241"/>
      <c r="T205" s="274"/>
      <c r="U205" s="276"/>
    </row>
    <row r="206" spans="1:21">
      <c r="A206" s="235"/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  <c r="O206" s="241"/>
      <c r="P206" s="241"/>
      <c r="Q206" s="241"/>
      <c r="R206" s="241"/>
      <c r="S206" s="241"/>
      <c r="T206" s="274"/>
      <c r="U206" s="276"/>
    </row>
    <row r="207" spans="1:21">
      <c r="A207" s="235"/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  <c r="O207" s="241"/>
      <c r="P207" s="241"/>
      <c r="Q207" s="241"/>
      <c r="R207" s="241"/>
      <c r="S207" s="241"/>
      <c r="T207" s="274"/>
      <c r="U207" s="276"/>
    </row>
    <row r="208" spans="1:21">
      <c r="A208" s="235"/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  <c r="O208" s="241"/>
      <c r="P208" s="241"/>
      <c r="Q208" s="241"/>
      <c r="R208" s="241"/>
      <c r="S208" s="241"/>
      <c r="T208" s="274"/>
      <c r="U208" s="276"/>
    </row>
    <row r="209" spans="1:21">
      <c r="A209" s="235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  <c r="O209" s="241"/>
      <c r="P209" s="241"/>
      <c r="Q209" s="241"/>
      <c r="R209" s="241"/>
      <c r="S209" s="241"/>
      <c r="T209" s="274"/>
      <c r="U209" s="276"/>
    </row>
    <row r="210" spans="1:21">
      <c r="A210" s="235"/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  <c r="O210" s="241"/>
      <c r="P210" s="241"/>
      <c r="Q210" s="241"/>
      <c r="R210" s="241"/>
      <c r="S210" s="241"/>
      <c r="T210" s="274"/>
      <c r="U210" s="276"/>
    </row>
    <row r="211" spans="1:21">
      <c r="A211" s="235"/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  <c r="O211" s="241"/>
      <c r="P211" s="241"/>
      <c r="Q211" s="241"/>
      <c r="R211" s="241"/>
      <c r="S211" s="241"/>
      <c r="T211" s="274"/>
      <c r="U211" s="276"/>
    </row>
    <row r="212" spans="1:21">
      <c r="A212" s="235"/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  <c r="O212" s="241"/>
      <c r="P212" s="241"/>
      <c r="Q212" s="241"/>
      <c r="R212" s="241"/>
      <c r="S212" s="241"/>
      <c r="T212" s="274"/>
      <c r="U212" s="276"/>
    </row>
    <row r="213" spans="1:21">
      <c r="A213" s="235"/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  <c r="O213" s="241"/>
      <c r="P213" s="241"/>
      <c r="Q213" s="241"/>
      <c r="R213" s="241"/>
      <c r="S213" s="241"/>
      <c r="T213" s="274"/>
      <c r="U213" s="276"/>
    </row>
    <row r="214" spans="1:21">
      <c r="A214" s="235"/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  <c r="O214" s="241"/>
      <c r="P214" s="241"/>
      <c r="Q214" s="241"/>
      <c r="R214" s="241"/>
      <c r="S214" s="241"/>
      <c r="T214" s="274"/>
      <c r="U214" s="276"/>
    </row>
    <row r="215" spans="1:21">
      <c r="A215" s="235"/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  <c r="O215" s="241"/>
      <c r="P215" s="241"/>
      <c r="Q215" s="241"/>
      <c r="R215" s="241"/>
      <c r="S215" s="241"/>
      <c r="T215" s="274"/>
      <c r="U215" s="276"/>
    </row>
    <row r="216" spans="1:21">
      <c r="A216" s="235"/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  <c r="O216" s="241"/>
      <c r="P216" s="241"/>
      <c r="Q216" s="241"/>
      <c r="R216" s="241"/>
      <c r="S216" s="241"/>
      <c r="T216" s="274"/>
      <c r="U216" s="276"/>
    </row>
    <row r="217" spans="1:21">
      <c r="A217" s="235"/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  <c r="O217" s="241"/>
      <c r="P217" s="241"/>
      <c r="Q217" s="241"/>
      <c r="R217" s="241"/>
      <c r="S217" s="241"/>
      <c r="T217" s="274"/>
      <c r="U217" s="276"/>
    </row>
    <row r="218" spans="1:21">
      <c r="A218" s="235"/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  <c r="O218" s="241"/>
      <c r="P218" s="241"/>
      <c r="Q218" s="241"/>
      <c r="R218" s="241"/>
      <c r="S218" s="241"/>
      <c r="T218" s="274"/>
      <c r="U218" s="276"/>
    </row>
    <row r="219" spans="1:21">
      <c r="A219" s="235"/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  <c r="O219" s="241"/>
      <c r="P219" s="241"/>
      <c r="Q219" s="241"/>
      <c r="R219" s="241"/>
      <c r="S219" s="241"/>
      <c r="T219" s="274"/>
      <c r="U219" s="276"/>
    </row>
    <row r="220" spans="1:21">
      <c r="A220" s="235"/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  <c r="O220" s="241"/>
      <c r="P220" s="241"/>
      <c r="Q220" s="241"/>
      <c r="R220" s="241"/>
      <c r="S220" s="241"/>
      <c r="T220" s="274"/>
      <c r="U220" s="276"/>
    </row>
    <row r="221" spans="1:21">
      <c r="A221" s="235"/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  <c r="O221" s="241"/>
      <c r="P221" s="241"/>
      <c r="Q221" s="241"/>
      <c r="R221" s="241"/>
      <c r="S221" s="241"/>
      <c r="T221" s="274"/>
      <c r="U221" s="276"/>
    </row>
    <row r="222" spans="1:21">
      <c r="A222" s="235"/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  <c r="O222" s="241"/>
      <c r="P222" s="241"/>
      <c r="Q222" s="241"/>
      <c r="R222" s="241"/>
      <c r="S222" s="241"/>
      <c r="T222" s="274"/>
      <c r="U222" s="276"/>
    </row>
    <row r="223" spans="1:21">
      <c r="A223" s="235"/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  <c r="O223" s="241"/>
      <c r="P223" s="241"/>
      <c r="Q223" s="241"/>
      <c r="R223" s="241"/>
      <c r="S223" s="241"/>
      <c r="T223" s="274"/>
      <c r="U223" s="276"/>
    </row>
    <row r="224" spans="1:21">
      <c r="A224" s="235"/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  <c r="O224" s="241"/>
      <c r="P224" s="241"/>
      <c r="Q224" s="241"/>
      <c r="R224" s="241"/>
      <c r="S224" s="241"/>
      <c r="T224" s="274"/>
      <c r="U224" s="276"/>
    </row>
    <row r="225" spans="1:21">
      <c r="A225" s="235"/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  <c r="O225" s="241"/>
      <c r="P225" s="241"/>
      <c r="Q225" s="241"/>
      <c r="R225" s="241"/>
      <c r="S225" s="241"/>
      <c r="T225" s="274"/>
      <c r="U225" s="276"/>
    </row>
    <row r="226" spans="1:21">
      <c r="A226" s="235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  <c r="O226" s="241"/>
      <c r="P226" s="241"/>
      <c r="Q226" s="241"/>
      <c r="R226" s="241"/>
      <c r="S226" s="241"/>
      <c r="T226" s="274"/>
      <c r="U226" s="276"/>
    </row>
    <row r="227" spans="1:21">
      <c r="A227" s="235"/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  <c r="O227" s="241"/>
      <c r="P227" s="241"/>
      <c r="Q227" s="241"/>
      <c r="R227" s="241"/>
      <c r="S227" s="241"/>
      <c r="T227" s="274"/>
      <c r="U227" s="276"/>
    </row>
    <row r="228" spans="1:21">
      <c r="A228" s="235"/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  <c r="O228" s="241"/>
      <c r="P228" s="241"/>
      <c r="Q228" s="241"/>
      <c r="R228" s="241"/>
      <c r="S228" s="241"/>
      <c r="T228" s="274"/>
      <c r="U228" s="276"/>
    </row>
    <row r="229" spans="1:21">
      <c r="A229" s="235"/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  <c r="O229" s="241"/>
      <c r="P229" s="241"/>
      <c r="Q229" s="241"/>
      <c r="R229" s="241"/>
      <c r="S229" s="241"/>
      <c r="T229" s="274"/>
      <c r="U229" s="276"/>
    </row>
    <row r="230" spans="1:21">
      <c r="A230" s="235"/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  <c r="O230" s="241"/>
      <c r="P230" s="241"/>
      <c r="Q230" s="241"/>
      <c r="R230" s="241"/>
      <c r="S230" s="241"/>
      <c r="T230" s="274"/>
      <c r="U230" s="276"/>
    </row>
    <row r="231" spans="1:21">
      <c r="A231" s="235"/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  <c r="O231" s="241"/>
      <c r="P231" s="241"/>
      <c r="Q231" s="241"/>
      <c r="R231" s="241"/>
      <c r="S231" s="241"/>
      <c r="T231" s="274"/>
      <c r="U231" s="276"/>
    </row>
    <row r="232" spans="1:21">
      <c r="A232" s="235"/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  <c r="O232" s="241"/>
      <c r="P232" s="241"/>
      <c r="Q232" s="241"/>
      <c r="R232" s="241"/>
      <c r="S232" s="241"/>
      <c r="T232" s="274"/>
      <c r="U232" s="276"/>
    </row>
    <row r="233" spans="1:21">
      <c r="A233" s="235"/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  <c r="O233" s="241"/>
      <c r="P233" s="241"/>
      <c r="Q233" s="241"/>
      <c r="R233" s="241"/>
      <c r="S233" s="241"/>
      <c r="T233" s="274"/>
      <c r="U233" s="276"/>
    </row>
    <row r="234" spans="1:21">
      <c r="A234" s="235"/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1"/>
      <c r="R234" s="241"/>
      <c r="S234" s="241"/>
      <c r="T234" s="274"/>
      <c r="U234" s="276"/>
    </row>
    <row r="235" spans="1:21">
      <c r="A235" s="235"/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  <c r="O235" s="241"/>
      <c r="P235" s="241"/>
      <c r="Q235" s="241"/>
      <c r="R235" s="241"/>
      <c r="S235" s="241"/>
      <c r="T235" s="274"/>
      <c r="U235" s="276"/>
    </row>
    <row r="236" spans="1:21">
      <c r="A236" s="235"/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  <c r="O236" s="241"/>
      <c r="P236" s="241"/>
      <c r="Q236" s="241"/>
      <c r="R236" s="241"/>
      <c r="S236" s="241"/>
      <c r="T236" s="274"/>
      <c r="U236" s="276"/>
    </row>
    <row r="237" spans="1:21">
      <c r="A237" s="235"/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  <c r="O237" s="241"/>
      <c r="P237" s="241"/>
      <c r="Q237" s="241"/>
      <c r="R237" s="241"/>
      <c r="S237" s="241"/>
      <c r="T237" s="274"/>
      <c r="U237" s="276"/>
    </row>
    <row r="238" spans="1:21">
      <c r="A238" s="235"/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  <c r="O238" s="241"/>
      <c r="P238" s="241"/>
      <c r="Q238" s="241"/>
      <c r="R238" s="241"/>
      <c r="S238" s="241"/>
      <c r="T238" s="274"/>
      <c r="U238" s="276"/>
    </row>
    <row r="239" spans="1:21">
      <c r="A239" s="235"/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  <c r="O239" s="241"/>
      <c r="P239" s="241"/>
      <c r="Q239" s="241"/>
      <c r="R239" s="241"/>
      <c r="S239" s="241"/>
      <c r="T239" s="274"/>
      <c r="U239" s="276"/>
    </row>
    <row r="240" spans="1:21">
      <c r="A240" s="235"/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  <c r="O240" s="241"/>
      <c r="P240" s="241"/>
      <c r="Q240" s="241"/>
      <c r="R240" s="241"/>
      <c r="S240" s="241"/>
      <c r="T240" s="274"/>
      <c r="U240" s="276"/>
    </row>
    <row r="241" spans="1:21">
      <c r="A241" s="235"/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  <c r="O241" s="241"/>
      <c r="P241" s="241"/>
      <c r="Q241" s="241"/>
      <c r="R241" s="241"/>
      <c r="S241" s="241"/>
      <c r="T241" s="274"/>
      <c r="U241" s="276"/>
    </row>
    <row r="242" spans="1:21">
      <c r="A242" s="235"/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  <c r="O242" s="241"/>
      <c r="P242" s="241"/>
      <c r="Q242" s="241"/>
      <c r="R242" s="241"/>
      <c r="S242" s="241"/>
      <c r="T242" s="274"/>
      <c r="U242" s="276"/>
    </row>
    <row r="243" spans="1:21">
      <c r="A243" s="235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  <c r="O243" s="241"/>
      <c r="P243" s="241"/>
      <c r="Q243" s="241"/>
      <c r="R243" s="241"/>
      <c r="S243" s="241"/>
      <c r="T243" s="274"/>
      <c r="U243" s="276"/>
    </row>
    <row r="244" spans="1:21">
      <c r="A244" s="235"/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  <c r="O244" s="241"/>
      <c r="P244" s="241"/>
      <c r="Q244" s="241"/>
      <c r="R244" s="241"/>
      <c r="S244" s="241"/>
      <c r="T244" s="274"/>
      <c r="U244" s="276"/>
    </row>
    <row r="245" spans="1:21">
      <c r="A245" s="235"/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  <c r="O245" s="241"/>
      <c r="P245" s="241"/>
      <c r="Q245" s="241"/>
      <c r="R245" s="241"/>
      <c r="S245" s="241"/>
      <c r="T245" s="274"/>
      <c r="U245" s="276"/>
    </row>
    <row r="246" spans="1:21">
      <c r="A246" s="235"/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  <c r="O246" s="241"/>
      <c r="P246" s="241"/>
      <c r="Q246" s="241"/>
      <c r="R246" s="241"/>
      <c r="S246" s="241"/>
      <c r="T246" s="274"/>
      <c r="U246" s="276"/>
    </row>
    <row r="247" spans="1:21">
      <c r="A247" s="235"/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  <c r="O247" s="241"/>
      <c r="P247" s="241"/>
      <c r="Q247" s="241"/>
      <c r="R247" s="241"/>
      <c r="S247" s="241"/>
      <c r="T247" s="274"/>
      <c r="U247" s="276"/>
    </row>
    <row r="248" spans="1:21">
      <c r="A248" s="235"/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  <c r="O248" s="241"/>
      <c r="P248" s="241"/>
      <c r="Q248" s="241"/>
      <c r="R248" s="241"/>
      <c r="S248" s="241"/>
      <c r="T248" s="274"/>
      <c r="U248" s="276"/>
    </row>
    <row r="249" spans="1:21">
      <c r="A249" s="235"/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  <c r="O249" s="241"/>
      <c r="P249" s="241"/>
      <c r="Q249" s="241"/>
      <c r="R249" s="241"/>
      <c r="S249" s="241"/>
      <c r="T249" s="274"/>
      <c r="U249" s="276"/>
    </row>
    <row r="250" spans="1:21">
      <c r="A250" s="235"/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  <c r="O250" s="241"/>
      <c r="P250" s="241"/>
      <c r="Q250" s="241"/>
      <c r="R250" s="241"/>
      <c r="S250" s="241"/>
      <c r="T250" s="274"/>
      <c r="U250" s="276"/>
    </row>
    <row r="251" spans="1:21">
      <c r="A251" s="235"/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  <c r="O251" s="241"/>
      <c r="P251" s="241"/>
      <c r="Q251" s="241"/>
      <c r="R251" s="241"/>
      <c r="S251" s="241"/>
      <c r="T251" s="274"/>
      <c r="U251" s="276"/>
    </row>
    <row r="252" spans="1:21">
      <c r="A252" s="235"/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  <c r="O252" s="241"/>
      <c r="P252" s="241"/>
      <c r="Q252" s="241"/>
      <c r="R252" s="241"/>
      <c r="S252" s="241"/>
      <c r="T252" s="274"/>
      <c r="U252" s="276"/>
    </row>
    <row r="253" spans="1:21">
      <c r="A253" s="235"/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  <c r="O253" s="241"/>
      <c r="P253" s="241"/>
      <c r="Q253" s="241"/>
      <c r="R253" s="241"/>
      <c r="S253" s="241"/>
      <c r="T253" s="274"/>
      <c r="U253" s="276"/>
    </row>
    <row r="254" spans="1:21">
      <c r="A254" s="235"/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  <c r="O254" s="241"/>
      <c r="P254" s="241"/>
      <c r="Q254" s="241"/>
      <c r="R254" s="241"/>
      <c r="S254" s="241"/>
      <c r="T254" s="274"/>
      <c r="U254" s="276"/>
    </row>
    <row r="255" spans="1:21">
      <c r="A255" s="235"/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  <c r="O255" s="241"/>
      <c r="P255" s="241"/>
      <c r="Q255" s="241"/>
      <c r="R255" s="241"/>
      <c r="S255" s="241"/>
      <c r="T255" s="274"/>
      <c r="U255" s="276"/>
    </row>
    <row r="256" spans="1:21">
      <c r="A256" s="235"/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  <c r="O256" s="241"/>
      <c r="P256" s="241"/>
      <c r="Q256" s="241"/>
      <c r="R256" s="241"/>
      <c r="S256" s="241"/>
      <c r="T256" s="274"/>
      <c r="U256" s="276"/>
    </row>
    <row r="257" spans="1:21">
      <c r="A257" s="235"/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  <c r="O257" s="241"/>
      <c r="P257" s="241"/>
      <c r="Q257" s="241"/>
      <c r="R257" s="241"/>
      <c r="S257" s="241"/>
      <c r="T257" s="274"/>
      <c r="U257" s="276"/>
    </row>
    <row r="258" spans="1:21">
      <c r="A258" s="235"/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  <c r="O258" s="241"/>
      <c r="P258" s="241"/>
      <c r="Q258" s="241"/>
      <c r="R258" s="241"/>
      <c r="S258" s="241"/>
      <c r="T258" s="274"/>
      <c r="U258" s="276"/>
    </row>
    <row r="259" spans="1:21">
      <c r="A259" s="235"/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  <c r="O259" s="241"/>
      <c r="P259" s="241"/>
      <c r="Q259" s="241"/>
      <c r="R259" s="241"/>
      <c r="S259" s="241"/>
      <c r="T259" s="274"/>
      <c r="U259" s="276"/>
    </row>
    <row r="260" spans="1:21">
      <c r="A260" s="235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  <c r="O260" s="241"/>
      <c r="P260" s="241"/>
      <c r="Q260" s="241"/>
      <c r="R260" s="241"/>
      <c r="S260" s="241"/>
      <c r="T260" s="274"/>
      <c r="U260" s="276"/>
    </row>
    <row r="261" spans="1:21">
      <c r="A261" s="235"/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  <c r="O261" s="241"/>
      <c r="P261" s="241"/>
      <c r="Q261" s="241"/>
      <c r="R261" s="241"/>
      <c r="S261" s="241"/>
      <c r="T261" s="274"/>
      <c r="U261" s="276"/>
    </row>
    <row r="262" spans="1:21">
      <c r="A262" s="235"/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  <c r="O262" s="241"/>
      <c r="P262" s="241"/>
      <c r="Q262" s="241"/>
      <c r="R262" s="241"/>
      <c r="S262" s="241"/>
      <c r="T262" s="274"/>
      <c r="U262" s="276"/>
    </row>
    <row r="263" spans="1:21">
      <c r="A263" s="235"/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  <c r="O263" s="241"/>
      <c r="P263" s="241"/>
      <c r="Q263" s="241"/>
      <c r="R263" s="241"/>
      <c r="S263" s="241"/>
      <c r="T263" s="274"/>
      <c r="U263" s="276"/>
    </row>
    <row r="264" spans="1:21">
      <c r="A264" s="235"/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  <c r="O264" s="241"/>
      <c r="P264" s="241"/>
      <c r="Q264" s="241"/>
      <c r="R264" s="241"/>
      <c r="S264" s="241"/>
      <c r="T264" s="274"/>
      <c r="U264" s="276"/>
    </row>
    <row r="265" spans="1:21">
      <c r="A265" s="235"/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  <c r="O265" s="241"/>
      <c r="P265" s="241"/>
      <c r="Q265" s="241"/>
      <c r="R265" s="241"/>
      <c r="S265" s="241"/>
      <c r="T265" s="274"/>
      <c r="U265" s="276"/>
    </row>
    <row r="266" spans="1:21">
      <c r="A266" s="235"/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  <c r="O266" s="241"/>
      <c r="P266" s="241"/>
      <c r="Q266" s="241"/>
      <c r="R266" s="241"/>
      <c r="S266" s="241"/>
      <c r="T266" s="274"/>
      <c r="U266" s="276"/>
    </row>
    <row r="267" spans="1:21">
      <c r="A267" s="235"/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  <c r="O267" s="241"/>
      <c r="P267" s="241"/>
      <c r="Q267" s="241"/>
      <c r="R267" s="241"/>
      <c r="S267" s="241"/>
      <c r="T267" s="274"/>
      <c r="U267" s="276"/>
    </row>
    <row r="268" spans="1:21">
      <c r="A268" s="235"/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  <c r="O268" s="241"/>
      <c r="P268" s="241"/>
      <c r="Q268" s="241"/>
      <c r="R268" s="241"/>
      <c r="S268" s="241"/>
      <c r="T268" s="274"/>
      <c r="U268" s="276"/>
    </row>
    <row r="269" spans="1:21">
      <c r="A269" s="235"/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  <c r="O269" s="241"/>
      <c r="P269" s="241"/>
      <c r="Q269" s="241"/>
      <c r="R269" s="241"/>
      <c r="S269" s="241"/>
      <c r="T269" s="274"/>
      <c r="U269" s="276"/>
    </row>
    <row r="270" spans="1:21">
      <c r="A270" s="235"/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  <c r="O270" s="241"/>
      <c r="P270" s="241"/>
      <c r="Q270" s="241"/>
      <c r="R270" s="241"/>
      <c r="S270" s="241"/>
      <c r="T270" s="274"/>
      <c r="U270" s="276"/>
    </row>
    <row r="271" spans="1:21">
      <c r="A271" s="235"/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  <c r="O271" s="241"/>
      <c r="P271" s="241"/>
      <c r="Q271" s="241"/>
      <c r="R271" s="241"/>
      <c r="S271" s="241"/>
      <c r="T271" s="274"/>
      <c r="U271" s="276"/>
    </row>
    <row r="272" spans="1:21">
      <c r="A272" s="235"/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  <c r="O272" s="241"/>
      <c r="P272" s="241"/>
      <c r="Q272" s="241"/>
      <c r="R272" s="241"/>
      <c r="S272" s="241"/>
      <c r="T272" s="274"/>
      <c r="U272" s="276"/>
    </row>
    <row r="273" spans="1:21">
      <c r="A273" s="235"/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  <c r="O273" s="241"/>
      <c r="P273" s="241"/>
      <c r="Q273" s="241"/>
      <c r="R273" s="241"/>
      <c r="S273" s="241"/>
      <c r="T273" s="274"/>
      <c r="U273" s="276"/>
    </row>
    <row r="274" spans="1:21">
      <c r="A274" s="235"/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  <c r="O274" s="241"/>
      <c r="P274" s="241"/>
      <c r="Q274" s="241"/>
      <c r="R274" s="241"/>
      <c r="S274" s="241"/>
      <c r="T274" s="274"/>
      <c r="U274" s="276"/>
    </row>
    <row r="275" spans="1:21">
      <c r="A275" s="235"/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  <c r="O275" s="241"/>
      <c r="P275" s="241"/>
      <c r="Q275" s="241"/>
      <c r="R275" s="241"/>
      <c r="S275" s="241"/>
      <c r="T275" s="274"/>
      <c r="U275" s="276"/>
    </row>
    <row r="276" spans="1:21">
      <c r="A276" s="235"/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  <c r="O276" s="241"/>
      <c r="P276" s="241"/>
      <c r="Q276" s="241"/>
      <c r="R276" s="241"/>
      <c r="S276" s="241"/>
      <c r="T276" s="274"/>
      <c r="U276" s="276"/>
    </row>
    <row r="277" spans="1:21">
      <c r="A277" s="235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  <c r="O277" s="241"/>
      <c r="P277" s="241"/>
      <c r="Q277" s="241"/>
      <c r="R277" s="241"/>
      <c r="S277" s="241"/>
      <c r="T277" s="274"/>
      <c r="U277" s="276"/>
    </row>
    <row r="278" spans="1:21">
      <c r="A278" s="235"/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  <c r="O278" s="241"/>
      <c r="P278" s="241"/>
      <c r="Q278" s="241"/>
      <c r="R278" s="241"/>
      <c r="S278" s="241"/>
      <c r="T278" s="274"/>
      <c r="U278" s="276"/>
    </row>
    <row r="279" spans="1:21">
      <c r="A279" s="235"/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  <c r="O279" s="241"/>
      <c r="P279" s="241"/>
      <c r="Q279" s="241"/>
      <c r="R279" s="241"/>
      <c r="S279" s="241"/>
      <c r="T279" s="274"/>
      <c r="U279" s="276"/>
    </row>
    <row r="280" spans="1:21">
      <c r="A280" s="235"/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  <c r="O280" s="241"/>
      <c r="P280" s="241"/>
      <c r="Q280" s="241"/>
      <c r="R280" s="241"/>
      <c r="S280" s="241"/>
      <c r="T280" s="274"/>
      <c r="U280" s="276"/>
    </row>
    <row r="281" spans="1:21">
      <c r="A281" s="235"/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  <c r="O281" s="241"/>
      <c r="P281" s="241"/>
      <c r="Q281" s="241"/>
      <c r="R281" s="241"/>
      <c r="S281" s="241"/>
      <c r="T281" s="274"/>
      <c r="U281" s="276"/>
    </row>
    <row r="282" spans="1:21">
      <c r="A282" s="235"/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  <c r="O282" s="241"/>
      <c r="P282" s="241"/>
      <c r="Q282" s="241"/>
      <c r="R282" s="241"/>
      <c r="S282" s="241"/>
      <c r="T282" s="274"/>
      <c r="U282" s="276"/>
    </row>
    <row r="283" spans="1:21">
      <c r="A283" s="235"/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  <c r="O283" s="241"/>
      <c r="P283" s="241"/>
      <c r="Q283" s="241"/>
      <c r="R283" s="241"/>
      <c r="S283" s="241"/>
      <c r="T283" s="274"/>
      <c r="U283" s="276"/>
    </row>
    <row r="284" spans="1:21">
      <c r="A284" s="235"/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  <c r="O284" s="241"/>
      <c r="P284" s="241"/>
      <c r="Q284" s="241"/>
      <c r="R284" s="241"/>
      <c r="S284" s="241"/>
      <c r="T284" s="274"/>
      <c r="U284" s="276"/>
    </row>
    <row r="285" spans="1:21">
      <c r="A285" s="235"/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  <c r="O285" s="241"/>
      <c r="P285" s="241"/>
      <c r="Q285" s="241"/>
      <c r="R285" s="241"/>
      <c r="S285" s="241"/>
      <c r="T285" s="274"/>
      <c r="U285" s="276"/>
    </row>
    <row r="286" spans="1:21">
      <c r="A286" s="235"/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  <c r="O286" s="241"/>
      <c r="P286" s="241"/>
      <c r="Q286" s="241"/>
      <c r="R286" s="241"/>
      <c r="S286" s="241"/>
      <c r="T286" s="274"/>
      <c r="U286" s="276"/>
    </row>
    <row r="287" spans="1:21">
      <c r="A287" s="235"/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  <c r="O287" s="241"/>
      <c r="P287" s="241"/>
      <c r="Q287" s="241"/>
      <c r="R287" s="241"/>
      <c r="S287" s="241"/>
      <c r="T287" s="274"/>
      <c r="U287" s="276"/>
    </row>
    <row r="288" spans="1:21">
      <c r="A288" s="235"/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  <c r="O288" s="241"/>
      <c r="P288" s="241"/>
      <c r="Q288" s="241"/>
      <c r="R288" s="241"/>
      <c r="S288" s="241"/>
      <c r="T288" s="274"/>
      <c r="U288" s="276"/>
    </row>
    <row r="289" spans="1:21">
      <c r="A289" s="235"/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  <c r="O289" s="241"/>
      <c r="P289" s="241"/>
      <c r="Q289" s="241"/>
      <c r="R289" s="241"/>
      <c r="S289" s="241"/>
      <c r="T289" s="274"/>
      <c r="U289" s="276"/>
    </row>
    <row r="290" spans="1:21">
      <c r="A290" s="235"/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  <c r="O290" s="241"/>
      <c r="P290" s="241"/>
      <c r="Q290" s="241"/>
      <c r="R290" s="241"/>
      <c r="S290" s="241"/>
      <c r="T290" s="274"/>
      <c r="U290" s="276"/>
    </row>
    <row r="291" spans="1:21">
      <c r="A291" s="235"/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  <c r="O291" s="241"/>
      <c r="P291" s="241"/>
      <c r="Q291" s="241"/>
      <c r="R291" s="241"/>
      <c r="S291" s="241"/>
      <c r="T291" s="274"/>
      <c r="U291" s="276"/>
    </row>
    <row r="292" spans="1:21">
      <c r="A292" s="235"/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  <c r="O292" s="241"/>
      <c r="P292" s="241"/>
      <c r="Q292" s="241"/>
      <c r="R292" s="241"/>
      <c r="S292" s="241"/>
      <c r="T292" s="274"/>
      <c r="U292" s="276"/>
    </row>
    <row r="293" spans="1:21">
      <c r="A293" s="235"/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  <c r="O293" s="241"/>
      <c r="P293" s="241"/>
      <c r="Q293" s="241"/>
      <c r="R293" s="241"/>
      <c r="S293" s="241"/>
      <c r="T293" s="274"/>
      <c r="U293" s="276"/>
    </row>
    <row r="294" spans="1:21">
      <c r="A294" s="235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  <c r="O294" s="241"/>
      <c r="P294" s="241"/>
      <c r="Q294" s="241"/>
      <c r="R294" s="241"/>
      <c r="S294" s="241"/>
      <c r="T294" s="274"/>
      <c r="U294" s="276"/>
    </row>
    <row r="295" spans="1:21">
      <c r="A295" s="235"/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  <c r="O295" s="241"/>
      <c r="P295" s="241"/>
      <c r="Q295" s="241"/>
      <c r="R295" s="241"/>
      <c r="S295" s="241"/>
      <c r="T295" s="274"/>
      <c r="U295" s="276"/>
    </row>
    <row r="296" spans="1:21">
      <c r="A296" s="235"/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  <c r="O296" s="241"/>
      <c r="P296" s="241"/>
      <c r="Q296" s="241"/>
      <c r="R296" s="241"/>
      <c r="S296" s="241"/>
      <c r="T296" s="274"/>
      <c r="U296" s="276"/>
    </row>
    <row r="297" spans="1:21">
      <c r="A297" s="235"/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  <c r="O297" s="241"/>
      <c r="P297" s="241"/>
      <c r="Q297" s="241"/>
      <c r="R297" s="241"/>
      <c r="S297" s="241"/>
      <c r="T297" s="274"/>
      <c r="U297" s="276"/>
    </row>
    <row r="298" spans="1:21">
      <c r="A298" s="235"/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  <c r="O298" s="241"/>
      <c r="P298" s="241"/>
      <c r="Q298" s="241"/>
      <c r="R298" s="241"/>
      <c r="S298" s="241"/>
      <c r="T298" s="274"/>
      <c r="U298" s="276"/>
    </row>
    <row r="299" spans="1:21">
      <c r="A299" s="235"/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  <c r="O299" s="241"/>
      <c r="P299" s="241"/>
      <c r="Q299" s="241"/>
      <c r="R299" s="241"/>
      <c r="S299" s="241"/>
      <c r="T299" s="274"/>
      <c r="U299" s="276"/>
    </row>
    <row r="300" spans="1:21">
      <c r="A300" s="235"/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  <c r="O300" s="241"/>
      <c r="P300" s="241"/>
      <c r="Q300" s="241"/>
      <c r="R300" s="241"/>
      <c r="S300" s="241"/>
      <c r="T300" s="274"/>
      <c r="U300" s="276"/>
    </row>
    <row r="301" spans="1:21" ht="16" thickBot="1">
      <c r="A301" s="278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79"/>
      <c r="U301" s="280"/>
    </row>
    <row r="302" spans="1:21">
      <c r="A302" s="233"/>
      <c r="B302" s="245"/>
      <c r="C302" s="245"/>
      <c r="D302" s="245"/>
      <c r="E302" s="245"/>
      <c r="F302" s="245"/>
      <c r="G302" s="245"/>
      <c r="H302" s="245"/>
      <c r="I302" s="245"/>
      <c r="J302" s="245"/>
      <c r="K302" s="245"/>
      <c r="L302" s="245"/>
      <c r="M302" s="245"/>
      <c r="N302" s="245"/>
      <c r="O302" s="245"/>
      <c r="P302" s="245"/>
      <c r="Q302" s="245"/>
      <c r="R302" s="245"/>
      <c r="S302" s="245"/>
      <c r="T302" s="233"/>
      <c r="U302" s="233"/>
    </row>
    <row r="303" spans="1:21">
      <c r="A303" s="233"/>
      <c r="B303" s="245"/>
      <c r="C303" s="245"/>
      <c r="D303" s="245"/>
      <c r="E303" s="245"/>
      <c r="F303" s="245"/>
      <c r="G303" s="245"/>
      <c r="H303" s="245"/>
      <c r="I303" s="245"/>
      <c r="J303" s="245"/>
      <c r="K303" s="245"/>
      <c r="L303" s="245"/>
      <c r="M303" s="245"/>
      <c r="N303" s="245"/>
      <c r="O303" s="245"/>
      <c r="P303" s="245"/>
      <c r="Q303" s="245"/>
      <c r="R303" s="245"/>
      <c r="S303" s="245"/>
      <c r="T303" s="233"/>
      <c r="U303" s="233"/>
    </row>
    <row r="304" spans="1:21">
      <c r="A304" s="233"/>
      <c r="B304" s="245"/>
      <c r="C304" s="245"/>
      <c r="D304" s="245"/>
      <c r="E304" s="245"/>
      <c r="F304" s="245"/>
      <c r="G304" s="245"/>
      <c r="H304" s="245"/>
      <c r="I304" s="245"/>
      <c r="J304" s="245"/>
      <c r="K304" s="245"/>
      <c r="L304" s="245"/>
      <c r="M304" s="245"/>
      <c r="N304" s="245"/>
      <c r="O304" s="245"/>
      <c r="P304" s="245"/>
      <c r="Q304" s="245"/>
      <c r="R304" s="245"/>
      <c r="S304" s="245"/>
      <c r="T304" s="233"/>
      <c r="U304" s="233"/>
    </row>
    <row r="305" spans="1:21">
      <c r="A305" s="233"/>
      <c r="B305" s="245"/>
      <c r="C305" s="245"/>
      <c r="D305" s="245"/>
      <c r="E305" s="245"/>
      <c r="F305" s="245"/>
      <c r="G305" s="245"/>
      <c r="H305" s="245"/>
      <c r="I305" s="245"/>
      <c r="J305" s="245"/>
      <c r="K305" s="245"/>
      <c r="L305" s="245"/>
      <c r="M305" s="245"/>
      <c r="N305" s="245"/>
      <c r="O305" s="245"/>
      <c r="P305" s="245"/>
      <c r="Q305" s="245"/>
      <c r="R305" s="245"/>
      <c r="S305" s="245"/>
      <c r="T305" s="233"/>
      <c r="U305" s="233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theme="7" tint="0.59999389629810485"/>
  </sheetPr>
  <dimension ref="A1:V38"/>
  <sheetViews>
    <sheetView tabSelected="1" zoomScale="55" zoomScaleNormal="55" workbookViewId="0">
      <selection activeCell="A5" sqref="A5"/>
    </sheetView>
  </sheetViews>
  <sheetFormatPr defaultColWidth="8.81640625" defaultRowHeight="13"/>
  <cols>
    <col min="1" max="1" width="21.6328125" style="119" customWidth="1"/>
    <col min="2" max="2" width="11.7265625" style="119" customWidth="1"/>
    <col min="3" max="3" width="11.6328125" style="119" customWidth="1"/>
    <col min="4" max="4" width="14.6328125" style="120" customWidth="1"/>
    <col min="5" max="5" width="11.1796875" style="119" customWidth="1"/>
    <col min="6" max="6" width="10.7265625" style="119" customWidth="1"/>
    <col min="7" max="7" width="10.453125" style="119" customWidth="1"/>
    <col min="8" max="8" width="3.7265625" style="119" customWidth="1"/>
    <col min="9" max="9" width="8.81640625" style="119"/>
    <col min="10" max="10" width="18.36328125" style="119" customWidth="1"/>
    <col min="11" max="11" width="20.81640625" style="119" bestFit="1" customWidth="1"/>
    <col min="12" max="12" width="10.6328125" style="119" customWidth="1"/>
    <col min="13" max="14" width="8.81640625" style="119"/>
    <col min="15" max="15" width="10.6328125" style="119" customWidth="1"/>
    <col min="16" max="18" width="8.81640625" style="119"/>
    <col min="19" max="19" width="9.08984375" style="119" customWidth="1"/>
    <col min="20" max="21" width="9.1796875" style="119" bestFit="1" customWidth="1"/>
    <col min="22" max="22" width="11.81640625" style="119" customWidth="1"/>
    <col min="23" max="254" width="8.81640625" style="119"/>
    <col min="255" max="255" width="21.6328125" style="119" customWidth="1"/>
    <col min="256" max="256" width="11.7265625" style="119" customWidth="1"/>
    <col min="257" max="257" width="11.6328125" style="119" customWidth="1"/>
    <col min="258" max="258" width="14.6328125" style="119" customWidth="1"/>
    <col min="259" max="259" width="11.1796875" style="119" customWidth="1"/>
    <col min="260" max="260" width="10.7265625" style="119" customWidth="1"/>
    <col min="261" max="261" width="10.453125" style="119" customWidth="1"/>
    <col min="262" max="262" width="14.54296875" style="119" customWidth="1"/>
    <col min="263" max="510" width="8.81640625" style="119"/>
    <col min="511" max="511" width="21.6328125" style="119" customWidth="1"/>
    <col min="512" max="512" width="11.7265625" style="119" customWidth="1"/>
    <col min="513" max="513" width="11.6328125" style="119" customWidth="1"/>
    <col min="514" max="514" width="14.6328125" style="119" customWidth="1"/>
    <col min="515" max="515" width="11.1796875" style="119" customWidth="1"/>
    <col min="516" max="516" width="10.7265625" style="119" customWidth="1"/>
    <col min="517" max="517" width="10.453125" style="119" customWidth="1"/>
    <col min="518" max="518" width="14.54296875" style="119" customWidth="1"/>
    <col min="519" max="766" width="8.81640625" style="119"/>
    <col min="767" max="767" width="21.6328125" style="119" customWidth="1"/>
    <col min="768" max="768" width="11.7265625" style="119" customWidth="1"/>
    <col min="769" max="769" width="11.6328125" style="119" customWidth="1"/>
    <col min="770" max="770" width="14.6328125" style="119" customWidth="1"/>
    <col min="771" max="771" width="11.1796875" style="119" customWidth="1"/>
    <col min="772" max="772" width="10.7265625" style="119" customWidth="1"/>
    <col min="773" max="773" width="10.453125" style="119" customWidth="1"/>
    <col min="774" max="774" width="14.54296875" style="119" customWidth="1"/>
    <col min="775" max="1022" width="8.81640625" style="119"/>
    <col min="1023" max="1023" width="21.6328125" style="119" customWidth="1"/>
    <col min="1024" max="1024" width="11.7265625" style="119" customWidth="1"/>
    <col min="1025" max="1025" width="11.6328125" style="119" customWidth="1"/>
    <col min="1026" max="1026" width="14.6328125" style="119" customWidth="1"/>
    <col min="1027" max="1027" width="11.1796875" style="119" customWidth="1"/>
    <col min="1028" max="1028" width="10.7265625" style="119" customWidth="1"/>
    <col min="1029" max="1029" width="10.453125" style="119" customWidth="1"/>
    <col min="1030" max="1030" width="14.54296875" style="119" customWidth="1"/>
    <col min="1031" max="1278" width="8.81640625" style="119"/>
    <col min="1279" max="1279" width="21.6328125" style="119" customWidth="1"/>
    <col min="1280" max="1280" width="11.7265625" style="119" customWidth="1"/>
    <col min="1281" max="1281" width="11.6328125" style="119" customWidth="1"/>
    <col min="1282" max="1282" width="14.6328125" style="119" customWidth="1"/>
    <col min="1283" max="1283" width="11.1796875" style="119" customWidth="1"/>
    <col min="1284" max="1284" width="10.7265625" style="119" customWidth="1"/>
    <col min="1285" max="1285" width="10.453125" style="119" customWidth="1"/>
    <col min="1286" max="1286" width="14.54296875" style="119" customWidth="1"/>
    <col min="1287" max="1534" width="8.81640625" style="119"/>
    <col min="1535" max="1535" width="21.6328125" style="119" customWidth="1"/>
    <col min="1536" max="1536" width="11.7265625" style="119" customWidth="1"/>
    <col min="1537" max="1537" width="11.6328125" style="119" customWidth="1"/>
    <col min="1538" max="1538" width="14.6328125" style="119" customWidth="1"/>
    <col min="1539" max="1539" width="11.1796875" style="119" customWidth="1"/>
    <col min="1540" max="1540" width="10.7265625" style="119" customWidth="1"/>
    <col min="1541" max="1541" width="10.453125" style="119" customWidth="1"/>
    <col min="1542" max="1542" width="14.54296875" style="119" customWidth="1"/>
    <col min="1543" max="1790" width="8.81640625" style="119"/>
    <col min="1791" max="1791" width="21.6328125" style="119" customWidth="1"/>
    <col min="1792" max="1792" width="11.7265625" style="119" customWidth="1"/>
    <col min="1793" max="1793" width="11.6328125" style="119" customWidth="1"/>
    <col min="1794" max="1794" width="14.6328125" style="119" customWidth="1"/>
    <col min="1795" max="1795" width="11.1796875" style="119" customWidth="1"/>
    <col min="1796" max="1796" width="10.7265625" style="119" customWidth="1"/>
    <col min="1797" max="1797" width="10.453125" style="119" customWidth="1"/>
    <col min="1798" max="1798" width="14.54296875" style="119" customWidth="1"/>
    <col min="1799" max="2046" width="8.81640625" style="119"/>
    <col min="2047" max="2047" width="21.6328125" style="119" customWidth="1"/>
    <col min="2048" max="2048" width="11.7265625" style="119" customWidth="1"/>
    <col min="2049" max="2049" width="11.6328125" style="119" customWidth="1"/>
    <col min="2050" max="2050" width="14.6328125" style="119" customWidth="1"/>
    <col min="2051" max="2051" width="11.1796875" style="119" customWidth="1"/>
    <col min="2052" max="2052" width="10.7265625" style="119" customWidth="1"/>
    <col min="2053" max="2053" width="10.453125" style="119" customWidth="1"/>
    <col min="2054" max="2054" width="14.54296875" style="119" customWidth="1"/>
    <col min="2055" max="2302" width="8.81640625" style="119"/>
    <col min="2303" max="2303" width="21.6328125" style="119" customWidth="1"/>
    <col min="2304" max="2304" width="11.7265625" style="119" customWidth="1"/>
    <col min="2305" max="2305" width="11.6328125" style="119" customWidth="1"/>
    <col min="2306" max="2306" width="14.6328125" style="119" customWidth="1"/>
    <col min="2307" max="2307" width="11.1796875" style="119" customWidth="1"/>
    <col min="2308" max="2308" width="10.7265625" style="119" customWidth="1"/>
    <col min="2309" max="2309" width="10.453125" style="119" customWidth="1"/>
    <col min="2310" max="2310" width="14.54296875" style="119" customWidth="1"/>
    <col min="2311" max="2558" width="8.81640625" style="119"/>
    <col min="2559" max="2559" width="21.6328125" style="119" customWidth="1"/>
    <col min="2560" max="2560" width="11.7265625" style="119" customWidth="1"/>
    <col min="2561" max="2561" width="11.6328125" style="119" customWidth="1"/>
    <col min="2562" max="2562" width="14.6328125" style="119" customWidth="1"/>
    <col min="2563" max="2563" width="11.1796875" style="119" customWidth="1"/>
    <col min="2564" max="2564" width="10.7265625" style="119" customWidth="1"/>
    <col min="2565" max="2565" width="10.453125" style="119" customWidth="1"/>
    <col min="2566" max="2566" width="14.54296875" style="119" customWidth="1"/>
    <col min="2567" max="2814" width="8.81640625" style="119"/>
    <col min="2815" max="2815" width="21.6328125" style="119" customWidth="1"/>
    <col min="2816" max="2816" width="11.7265625" style="119" customWidth="1"/>
    <col min="2817" max="2817" width="11.6328125" style="119" customWidth="1"/>
    <col min="2818" max="2818" width="14.6328125" style="119" customWidth="1"/>
    <col min="2819" max="2819" width="11.1796875" style="119" customWidth="1"/>
    <col min="2820" max="2820" width="10.7265625" style="119" customWidth="1"/>
    <col min="2821" max="2821" width="10.453125" style="119" customWidth="1"/>
    <col min="2822" max="2822" width="14.54296875" style="119" customWidth="1"/>
    <col min="2823" max="3070" width="8.81640625" style="119"/>
    <col min="3071" max="3071" width="21.6328125" style="119" customWidth="1"/>
    <col min="3072" max="3072" width="11.7265625" style="119" customWidth="1"/>
    <col min="3073" max="3073" width="11.6328125" style="119" customWidth="1"/>
    <col min="3074" max="3074" width="14.6328125" style="119" customWidth="1"/>
    <col min="3075" max="3075" width="11.1796875" style="119" customWidth="1"/>
    <col min="3076" max="3076" width="10.7265625" style="119" customWidth="1"/>
    <col min="3077" max="3077" width="10.453125" style="119" customWidth="1"/>
    <col min="3078" max="3078" width="14.54296875" style="119" customWidth="1"/>
    <col min="3079" max="3326" width="8.81640625" style="119"/>
    <col min="3327" max="3327" width="21.6328125" style="119" customWidth="1"/>
    <col min="3328" max="3328" width="11.7265625" style="119" customWidth="1"/>
    <col min="3329" max="3329" width="11.6328125" style="119" customWidth="1"/>
    <col min="3330" max="3330" width="14.6328125" style="119" customWidth="1"/>
    <col min="3331" max="3331" width="11.1796875" style="119" customWidth="1"/>
    <col min="3332" max="3332" width="10.7265625" style="119" customWidth="1"/>
    <col min="3333" max="3333" width="10.453125" style="119" customWidth="1"/>
    <col min="3334" max="3334" width="14.54296875" style="119" customWidth="1"/>
    <col min="3335" max="3582" width="8.81640625" style="119"/>
    <col min="3583" max="3583" width="21.6328125" style="119" customWidth="1"/>
    <col min="3584" max="3584" width="11.7265625" style="119" customWidth="1"/>
    <col min="3585" max="3585" width="11.6328125" style="119" customWidth="1"/>
    <col min="3586" max="3586" width="14.6328125" style="119" customWidth="1"/>
    <col min="3587" max="3587" width="11.1796875" style="119" customWidth="1"/>
    <col min="3588" max="3588" width="10.7265625" style="119" customWidth="1"/>
    <col min="3589" max="3589" width="10.453125" style="119" customWidth="1"/>
    <col min="3590" max="3590" width="14.54296875" style="119" customWidth="1"/>
    <col min="3591" max="3838" width="8.81640625" style="119"/>
    <col min="3839" max="3839" width="21.6328125" style="119" customWidth="1"/>
    <col min="3840" max="3840" width="11.7265625" style="119" customWidth="1"/>
    <col min="3841" max="3841" width="11.6328125" style="119" customWidth="1"/>
    <col min="3842" max="3842" width="14.6328125" style="119" customWidth="1"/>
    <col min="3843" max="3843" width="11.1796875" style="119" customWidth="1"/>
    <col min="3844" max="3844" width="10.7265625" style="119" customWidth="1"/>
    <col min="3845" max="3845" width="10.453125" style="119" customWidth="1"/>
    <col min="3846" max="3846" width="14.54296875" style="119" customWidth="1"/>
    <col min="3847" max="4094" width="8.81640625" style="119"/>
    <col min="4095" max="4095" width="21.6328125" style="119" customWidth="1"/>
    <col min="4096" max="4096" width="11.7265625" style="119" customWidth="1"/>
    <col min="4097" max="4097" width="11.6328125" style="119" customWidth="1"/>
    <col min="4098" max="4098" width="14.6328125" style="119" customWidth="1"/>
    <col min="4099" max="4099" width="11.1796875" style="119" customWidth="1"/>
    <col min="4100" max="4100" width="10.7265625" style="119" customWidth="1"/>
    <col min="4101" max="4101" width="10.453125" style="119" customWidth="1"/>
    <col min="4102" max="4102" width="14.54296875" style="119" customWidth="1"/>
    <col min="4103" max="4350" width="8.81640625" style="119"/>
    <col min="4351" max="4351" width="21.6328125" style="119" customWidth="1"/>
    <col min="4352" max="4352" width="11.7265625" style="119" customWidth="1"/>
    <col min="4353" max="4353" width="11.6328125" style="119" customWidth="1"/>
    <col min="4354" max="4354" width="14.6328125" style="119" customWidth="1"/>
    <col min="4355" max="4355" width="11.1796875" style="119" customWidth="1"/>
    <col min="4356" max="4356" width="10.7265625" style="119" customWidth="1"/>
    <col min="4357" max="4357" width="10.453125" style="119" customWidth="1"/>
    <col min="4358" max="4358" width="14.54296875" style="119" customWidth="1"/>
    <col min="4359" max="4606" width="8.81640625" style="119"/>
    <col min="4607" max="4607" width="21.6328125" style="119" customWidth="1"/>
    <col min="4608" max="4608" width="11.7265625" style="119" customWidth="1"/>
    <col min="4609" max="4609" width="11.6328125" style="119" customWidth="1"/>
    <col min="4610" max="4610" width="14.6328125" style="119" customWidth="1"/>
    <col min="4611" max="4611" width="11.1796875" style="119" customWidth="1"/>
    <col min="4612" max="4612" width="10.7265625" style="119" customWidth="1"/>
    <col min="4613" max="4613" width="10.453125" style="119" customWidth="1"/>
    <col min="4614" max="4614" width="14.54296875" style="119" customWidth="1"/>
    <col min="4615" max="4862" width="8.81640625" style="119"/>
    <col min="4863" max="4863" width="21.6328125" style="119" customWidth="1"/>
    <col min="4864" max="4864" width="11.7265625" style="119" customWidth="1"/>
    <col min="4865" max="4865" width="11.6328125" style="119" customWidth="1"/>
    <col min="4866" max="4866" width="14.6328125" style="119" customWidth="1"/>
    <col min="4867" max="4867" width="11.1796875" style="119" customWidth="1"/>
    <col min="4868" max="4868" width="10.7265625" style="119" customWidth="1"/>
    <col min="4869" max="4869" width="10.453125" style="119" customWidth="1"/>
    <col min="4870" max="4870" width="14.54296875" style="119" customWidth="1"/>
    <col min="4871" max="5118" width="8.81640625" style="119"/>
    <col min="5119" max="5119" width="21.6328125" style="119" customWidth="1"/>
    <col min="5120" max="5120" width="11.7265625" style="119" customWidth="1"/>
    <col min="5121" max="5121" width="11.6328125" style="119" customWidth="1"/>
    <col min="5122" max="5122" width="14.6328125" style="119" customWidth="1"/>
    <col min="5123" max="5123" width="11.1796875" style="119" customWidth="1"/>
    <col min="5124" max="5124" width="10.7265625" style="119" customWidth="1"/>
    <col min="5125" max="5125" width="10.453125" style="119" customWidth="1"/>
    <col min="5126" max="5126" width="14.54296875" style="119" customWidth="1"/>
    <col min="5127" max="5374" width="8.81640625" style="119"/>
    <col min="5375" max="5375" width="21.6328125" style="119" customWidth="1"/>
    <col min="5376" max="5376" width="11.7265625" style="119" customWidth="1"/>
    <col min="5377" max="5377" width="11.6328125" style="119" customWidth="1"/>
    <col min="5378" max="5378" width="14.6328125" style="119" customWidth="1"/>
    <col min="5379" max="5379" width="11.1796875" style="119" customWidth="1"/>
    <col min="5380" max="5380" width="10.7265625" style="119" customWidth="1"/>
    <col min="5381" max="5381" width="10.453125" style="119" customWidth="1"/>
    <col min="5382" max="5382" width="14.54296875" style="119" customWidth="1"/>
    <col min="5383" max="5630" width="8.81640625" style="119"/>
    <col min="5631" max="5631" width="21.6328125" style="119" customWidth="1"/>
    <col min="5632" max="5632" width="11.7265625" style="119" customWidth="1"/>
    <col min="5633" max="5633" width="11.6328125" style="119" customWidth="1"/>
    <col min="5634" max="5634" width="14.6328125" style="119" customWidth="1"/>
    <col min="5635" max="5635" width="11.1796875" style="119" customWidth="1"/>
    <col min="5636" max="5636" width="10.7265625" style="119" customWidth="1"/>
    <col min="5637" max="5637" width="10.453125" style="119" customWidth="1"/>
    <col min="5638" max="5638" width="14.54296875" style="119" customWidth="1"/>
    <col min="5639" max="5886" width="8.81640625" style="119"/>
    <col min="5887" max="5887" width="21.6328125" style="119" customWidth="1"/>
    <col min="5888" max="5888" width="11.7265625" style="119" customWidth="1"/>
    <col min="5889" max="5889" width="11.6328125" style="119" customWidth="1"/>
    <col min="5890" max="5890" width="14.6328125" style="119" customWidth="1"/>
    <col min="5891" max="5891" width="11.1796875" style="119" customWidth="1"/>
    <col min="5892" max="5892" width="10.7265625" style="119" customWidth="1"/>
    <col min="5893" max="5893" width="10.453125" style="119" customWidth="1"/>
    <col min="5894" max="5894" width="14.54296875" style="119" customWidth="1"/>
    <col min="5895" max="6142" width="8.81640625" style="119"/>
    <col min="6143" max="6143" width="21.6328125" style="119" customWidth="1"/>
    <col min="6144" max="6144" width="11.7265625" style="119" customWidth="1"/>
    <col min="6145" max="6145" width="11.6328125" style="119" customWidth="1"/>
    <col min="6146" max="6146" width="14.6328125" style="119" customWidth="1"/>
    <col min="6147" max="6147" width="11.1796875" style="119" customWidth="1"/>
    <col min="6148" max="6148" width="10.7265625" style="119" customWidth="1"/>
    <col min="6149" max="6149" width="10.453125" style="119" customWidth="1"/>
    <col min="6150" max="6150" width="14.54296875" style="119" customWidth="1"/>
    <col min="6151" max="6398" width="8.81640625" style="119"/>
    <col min="6399" max="6399" width="21.6328125" style="119" customWidth="1"/>
    <col min="6400" max="6400" width="11.7265625" style="119" customWidth="1"/>
    <col min="6401" max="6401" width="11.6328125" style="119" customWidth="1"/>
    <col min="6402" max="6402" width="14.6328125" style="119" customWidth="1"/>
    <col min="6403" max="6403" width="11.1796875" style="119" customWidth="1"/>
    <col min="6404" max="6404" width="10.7265625" style="119" customWidth="1"/>
    <col min="6405" max="6405" width="10.453125" style="119" customWidth="1"/>
    <col min="6406" max="6406" width="14.54296875" style="119" customWidth="1"/>
    <col min="6407" max="6654" width="8.81640625" style="119"/>
    <col min="6655" max="6655" width="21.6328125" style="119" customWidth="1"/>
    <col min="6656" max="6656" width="11.7265625" style="119" customWidth="1"/>
    <col min="6657" max="6657" width="11.6328125" style="119" customWidth="1"/>
    <col min="6658" max="6658" width="14.6328125" style="119" customWidth="1"/>
    <col min="6659" max="6659" width="11.1796875" style="119" customWidth="1"/>
    <col min="6660" max="6660" width="10.7265625" style="119" customWidth="1"/>
    <col min="6661" max="6661" width="10.453125" style="119" customWidth="1"/>
    <col min="6662" max="6662" width="14.54296875" style="119" customWidth="1"/>
    <col min="6663" max="6910" width="8.81640625" style="119"/>
    <col min="6911" max="6911" width="21.6328125" style="119" customWidth="1"/>
    <col min="6912" max="6912" width="11.7265625" style="119" customWidth="1"/>
    <col min="6913" max="6913" width="11.6328125" style="119" customWidth="1"/>
    <col min="6914" max="6914" width="14.6328125" style="119" customWidth="1"/>
    <col min="6915" max="6915" width="11.1796875" style="119" customWidth="1"/>
    <col min="6916" max="6916" width="10.7265625" style="119" customWidth="1"/>
    <col min="6917" max="6917" width="10.453125" style="119" customWidth="1"/>
    <col min="6918" max="6918" width="14.54296875" style="119" customWidth="1"/>
    <col min="6919" max="7166" width="8.81640625" style="119"/>
    <col min="7167" max="7167" width="21.6328125" style="119" customWidth="1"/>
    <col min="7168" max="7168" width="11.7265625" style="119" customWidth="1"/>
    <col min="7169" max="7169" width="11.6328125" style="119" customWidth="1"/>
    <col min="7170" max="7170" width="14.6328125" style="119" customWidth="1"/>
    <col min="7171" max="7171" width="11.1796875" style="119" customWidth="1"/>
    <col min="7172" max="7172" width="10.7265625" style="119" customWidth="1"/>
    <col min="7173" max="7173" width="10.453125" style="119" customWidth="1"/>
    <col min="7174" max="7174" width="14.54296875" style="119" customWidth="1"/>
    <col min="7175" max="7422" width="8.81640625" style="119"/>
    <col min="7423" max="7423" width="21.6328125" style="119" customWidth="1"/>
    <col min="7424" max="7424" width="11.7265625" style="119" customWidth="1"/>
    <col min="7425" max="7425" width="11.6328125" style="119" customWidth="1"/>
    <col min="7426" max="7426" width="14.6328125" style="119" customWidth="1"/>
    <col min="7427" max="7427" width="11.1796875" style="119" customWidth="1"/>
    <col min="7428" max="7428" width="10.7265625" style="119" customWidth="1"/>
    <col min="7429" max="7429" width="10.453125" style="119" customWidth="1"/>
    <col min="7430" max="7430" width="14.54296875" style="119" customWidth="1"/>
    <col min="7431" max="7678" width="8.81640625" style="119"/>
    <col min="7679" max="7679" width="21.6328125" style="119" customWidth="1"/>
    <col min="7680" max="7680" width="11.7265625" style="119" customWidth="1"/>
    <col min="7681" max="7681" width="11.6328125" style="119" customWidth="1"/>
    <col min="7682" max="7682" width="14.6328125" style="119" customWidth="1"/>
    <col min="7683" max="7683" width="11.1796875" style="119" customWidth="1"/>
    <col min="7684" max="7684" width="10.7265625" style="119" customWidth="1"/>
    <col min="7685" max="7685" width="10.453125" style="119" customWidth="1"/>
    <col min="7686" max="7686" width="14.54296875" style="119" customWidth="1"/>
    <col min="7687" max="7934" width="8.81640625" style="119"/>
    <col min="7935" max="7935" width="21.6328125" style="119" customWidth="1"/>
    <col min="7936" max="7936" width="11.7265625" style="119" customWidth="1"/>
    <col min="7937" max="7937" width="11.6328125" style="119" customWidth="1"/>
    <col min="7938" max="7938" width="14.6328125" style="119" customWidth="1"/>
    <col min="7939" max="7939" width="11.1796875" style="119" customWidth="1"/>
    <col min="7940" max="7940" width="10.7265625" style="119" customWidth="1"/>
    <col min="7941" max="7941" width="10.453125" style="119" customWidth="1"/>
    <col min="7942" max="7942" width="14.54296875" style="119" customWidth="1"/>
    <col min="7943" max="8190" width="8.81640625" style="119"/>
    <col min="8191" max="8191" width="21.6328125" style="119" customWidth="1"/>
    <col min="8192" max="8192" width="11.7265625" style="119" customWidth="1"/>
    <col min="8193" max="8193" width="11.6328125" style="119" customWidth="1"/>
    <col min="8194" max="8194" width="14.6328125" style="119" customWidth="1"/>
    <col min="8195" max="8195" width="11.1796875" style="119" customWidth="1"/>
    <col min="8196" max="8196" width="10.7265625" style="119" customWidth="1"/>
    <col min="8197" max="8197" width="10.453125" style="119" customWidth="1"/>
    <col min="8198" max="8198" width="14.54296875" style="119" customWidth="1"/>
    <col min="8199" max="8446" width="8.81640625" style="119"/>
    <col min="8447" max="8447" width="21.6328125" style="119" customWidth="1"/>
    <col min="8448" max="8448" width="11.7265625" style="119" customWidth="1"/>
    <col min="8449" max="8449" width="11.6328125" style="119" customWidth="1"/>
    <col min="8450" max="8450" width="14.6328125" style="119" customWidth="1"/>
    <col min="8451" max="8451" width="11.1796875" style="119" customWidth="1"/>
    <col min="8452" max="8452" width="10.7265625" style="119" customWidth="1"/>
    <col min="8453" max="8453" width="10.453125" style="119" customWidth="1"/>
    <col min="8454" max="8454" width="14.54296875" style="119" customWidth="1"/>
    <col min="8455" max="8702" width="8.81640625" style="119"/>
    <col min="8703" max="8703" width="21.6328125" style="119" customWidth="1"/>
    <col min="8704" max="8704" width="11.7265625" style="119" customWidth="1"/>
    <col min="8705" max="8705" width="11.6328125" style="119" customWidth="1"/>
    <col min="8706" max="8706" width="14.6328125" style="119" customWidth="1"/>
    <col min="8707" max="8707" width="11.1796875" style="119" customWidth="1"/>
    <col min="8708" max="8708" width="10.7265625" style="119" customWidth="1"/>
    <col min="8709" max="8709" width="10.453125" style="119" customWidth="1"/>
    <col min="8710" max="8710" width="14.54296875" style="119" customWidth="1"/>
    <col min="8711" max="8958" width="8.81640625" style="119"/>
    <col min="8959" max="8959" width="21.6328125" style="119" customWidth="1"/>
    <col min="8960" max="8960" width="11.7265625" style="119" customWidth="1"/>
    <col min="8961" max="8961" width="11.6328125" style="119" customWidth="1"/>
    <col min="8962" max="8962" width="14.6328125" style="119" customWidth="1"/>
    <col min="8963" max="8963" width="11.1796875" style="119" customWidth="1"/>
    <col min="8964" max="8964" width="10.7265625" style="119" customWidth="1"/>
    <col min="8965" max="8965" width="10.453125" style="119" customWidth="1"/>
    <col min="8966" max="8966" width="14.54296875" style="119" customWidth="1"/>
    <col min="8967" max="9214" width="8.81640625" style="119"/>
    <col min="9215" max="9215" width="21.6328125" style="119" customWidth="1"/>
    <col min="9216" max="9216" width="11.7265625" style="119" customWidth="1"/>
    <col min="9217" max="9217" width="11.6328125" style="119" customWidth="1"/>
    <col min="9218" max="9218" width="14.6328125" style="119" customWidth="1"/>
    <col min="9219" max="9219" width="11.1796875" style="119" customWidth="1"/>
    <col min="9220" max="9220" width="10.7265625" style="119" customWidth="1"/>
    <col min="9221" max="9221" width="10.453125" style="119" customWidth="1"/>
    <col min="9222" max="9222" width="14.54296875" style="119" customWidth="1"/>
    <col min="9223" max="9470" width="8.81640625" style="119"/>
    <col min="9471" max="9471" width="21.6328125" style="119" customWidth="1"/>
    <col min="9472" max="9472" width="11.7265625" style="119" customWidth="1"/>
    <col min="9473" max="9473" width="11.6328125" style="119" customWidth="1"/>
    <col min="9474" max="9474" width="14.6328125" style="119" customWidth="1"/>
    <col min="9475" max="9475" width="11.1796875" style="119" customWidth="1"/>
    <col min="9476" max="9476" width="10.7265625" style="119" customWidth="1"/>
    <col min="9477" max="9477" width="10.453125" style="119" customWidth="1"/>
    <col min="9478" max="9478" width="14.54296875" style="119" customWidth="1"/>
    <col min="9479" max="9726" width="8.81640625" style="119"/>
    <col min="9727" max="9727" width="21.6328125" style="119" customWidth="1"/>
    <col min="9728" max="9728" width="11.7265625" style="119" customWidth="1"/>
    <col min="9729" max="9729" width="11.6328125" style="119" customWidth="1"/>
    <col min="9730" max="9730" width="14.6328125" style="119" customWidth="1"/>
    <col min="9731" max="9731" width="11.1796875" style="119" customWidth="1"/>
    <col min="9732" max="9732" width="10.7265625" style="119" customWidth="1"/>
    <col min="9733" max="9733" width="10.453125" style="119" customWidth="1"/>
    <col min="9734" max="9734" width="14.54296875" style="119" customWidth="1"/>
    <col min="9735" max="9982" width="8.81640625" style="119"/>
    <col min="9983" max="9983" width="21.6328125" style="119" customWidth="1"/>
    <col min="9984" max="9984" width="11.7265625" style="119" customWidth="1"/>
    <col min="9985" max="9985" width="11.6328125" style="119" customWidth="1"/>
    <col min="9986" max="9986" width="14.6328125" style="119" customWidth="1"/>
    <col min="9987" max="9987" width="11.1796875" style="119" customWidth="1"/>
    <col min="9988" max="9988" width="10.7265625" style="119" customWidth="1"/>
    <col min="9989" max="9989" width="10.453125" style="119" customWidth="1"/>
    <col min="9990" max="9990" width="14.54296875" style="119" customWidth="1"/>
    <col min="9991" max="10238" width="8.81640625" style="119"/>
    <col min="10239" max="10239" width="21.6328125" style="119" customWidth="1"/>
    <col min="10240" max="10240" width="11.7265625" style="119" customWidth="1"/>
    <col min="10241" max="10241" width="11.6328125" style="119" customWidth="1"/>
    <col min="10242" max="10242" width="14.6328125" style="119" customWidth="1"/>
    <col min="10243" max="10243" width="11.1796875" style="119" customWidth="1"/>
    <col min="10244" max="10244" width="10.7265625" style="119" customWidth="1"/>
    <col min="10245" max="10245" width="10.453125" style="119" customWidth="1"/>
    <col min="10246" max="10246" width="14.54296875" style="119" customWidth="1"/>
    <col min="10247" max="10494" width="8.81640625" style="119"/>
    <col min="10495" max="10495" width="21.6328125" style="119" customWidth="1"/>
    <col min="10496" max="10496" width="11.7265625" style="119" customWidth="1"/>
    <col min="10497" max="10497" width="11.6328125" style="119" customWidth="1"/>
    <col min="10498" max="10498" width="14.6328125" style="119" customWidth="1"/>
    <col min="10499" max="10499" width="11.1796875" style="119" customWidth="1"/>
    <col min="10500" max="10500" width="10.7265625" style="119" customWidth="1"/>
    <col min="10501" max="10501" width="10.453125" style="119" customWidth="1"/>
    <col min="10502" max="10502" width="14.54296875" style="119" customWidth="1"/>
    <col min="10503" max="10750" width="8.81640625" style="119"/>
    <col min="10751" max="10751" width="21.6328125" style="119" customWidth="1"/>
    <col min="10752" max="10752" width="11.7265625" style="119" customWidth="1"/>
    <col min="10753" max="10753" width="11.6328125" style="119" customWidth="1"/>
    <col min="10754" max="10754" width="14.6328125" style="119" customWidth="1"/>
    <col min="10755" max="10755" width="11.1796875" style="119" customWidth="1"/>
    <col min="10756" max="10756" width="10.7265625" style="119" customWidth="1"/>
    <col min="10757" max="10757" width="10.453125" style="119" customWidth="1"/>
    <col min="10758" max="10758" width="14.54296875" style="119" customWidth="1"/>
    <col min="10759" max="11006" width="8.81640625" style="119"/>
    <col min="11007" max="11007" width="21.6328125" style="119" customWidth="1"/>
    <col min="11008" max="11008" width="11.7265625" style="119" customWidth="1"/>
    <col min="11009" max="11009" width="11.6328125" style="119" customWidth="1"/>
    <col min="11010" max="11010" width="14.6328125" style="119" customWidth="1"/>
    <col min="11011" max="11011" width="11.1796875" style="119" customWidth="1"/>
    <col min="11012" max="11012" width="10.7265625" style="119" customWidth="1"/>
    <col min="11013" max="11013" width="10.453125" style="119" customWidth="1"/>
    <col min="11014" max="11014" width="14.54296875" style="119" customWidth="1"/>
    <col min="11015" max="11262" width="8.81640625" style="119"/>
    <col min="11263" max="11263" width="21.6328125" style="119" customWidth="1"/>
    <col min="11264" max="11264" width="11.7265625" style="119" customWidth="1"/>
    <col min="11265" max="11265" width="11.6328125" style="119" customWidth="1"/>
    <col min="11266" max="11266" width="14.6328125" style="119" customWidth="1"/>
    <col min="11267" max="11267" width="11.1796875" style="119" customWidth="1"/>
    <col min="11268" max="11268" width="10.7265625" style="119" customWidth="1"/>
    <col min="11269" max="11269" width="10.453125" style="119" customWidth="1"/>
    <col min="11270" max="11270" width="14.54296875" style="119" customWidth="1"/>
    <col min="11271" max="11518" width="8.81640625" style="119"/>
    <col min="11519" max="11519" width="21.6328125" style="119" customWidth="1"/>
    <col min="11520" max="11520" width="11.7265625" style="119" customWidth="1"/>
    <col min="11521" max="11521" width="11.6328125" style="119" customWidth="1"/>
    <col min="11522" max="11522" width="14.6328125" style="119" customWidth="1"/>
    <col min="11523" max="11523" width="11.1796875" style="119" customWidth="1"/>
    <col min="11524" max="11524" width="10.7265625" style="119" customWidth="1"/>
    <col min="11525" max="11525" width="10.453125" style="119" customWidth="1"/>
    <col min="11526" max="11526" width="14.54296875" style="119" customWidth="1"/>
    <col min="11527" max="11774" width="8.81640625" style="119"/>
    <col min="11775" max="11775" width="21.6328125" style="119" customWidth="1"/>
    <col min="11776" max="11776" width="11.7265625" style="119" customWidth="1"/>
    <col min="11777" max="11777" width="11.6328125" style="119" customWidth="1"/>
    <col min="11778" max="11778" width="14.6328125" style="119" customWidth="1"/>
    <col min="11779" max="11779" width="11.1796875" style="119" customWidth="1"/>
    <col min="11780" max="11780" width="10.7265625" style="119" customWidth="1"/>
    <col min="11781" max="11781" width="10.453125" style="119" customWidth="1"/>
    <col min="11782" max="11782" width="14.54296875" style="119" customWidth="1"/>
    <col min="11783" max="12030" width="8.81640625" style="119"/>
    <col min="12031" max="12031" width="21.6328125" style="119" customWidth="1"/>
    <col min="12032" max="12032" width="11.7265625" style="119" customWidth="1"/>
    <col min="12033" max="12033" width="11.6328125" style="119" customWidth="1"/>
    <col min="12034" max="12034" width="14.6328125" style="119" customWidth="1"/>
    <col min="12035" max="12035" width="11.1796875" style="119" customWidth="1"/>
    <col min="12036" max="12036" width="10.7265625" style="119" customWidth="1"/>
    <col min="12037" max="12037" width="10.453125" style="119" customWidth="1"/>
    <col min="12038" max="12038" width="14.54296875" style="119" customWidth="1"/>
    <col min="12039" max="12286" width="8.81640625" style="119"/>
    <col min="12287" max="12287" width="21.6328125" style="119" customWidth="1"/>
    <col min="12288" max="12288" width="11.7265625" style="119" customWidth="1"/>
    <col min="12289" max="12289" width="11.6328125" style="119" customWidth="1"/>
    <col min="12290" max="12290" width="14.6328125" style="119" customWidth="1"/>
    <col min="12291" max="12291" width="11.1796875" style="119" customWidth="1"/>
    <col min="12292" max="12292" width="10.7265625" style="119" customWidth="1"/>
    <col min="12293" max="12293" width="10.453125" style="119" customWidth="1"/>
    <col min="12294" max="12294" width="14.54296875" style="119" customWidth="1"/>
    <col min="12295" max="12542" width="8.81640625" style="119"/>
    <col min="12543" max="12543" width="21.6328125" style="119" customWidth="1"/>
    <col min="12544" max="12544" width="11.7265625" style="119" customWidth="1"/>
    <col min="12545" max="12545" width="11.6328125" style="119" customWidth="1"/>
    <col min="12546" max="12546" width="14.6328125" style="119" customWidth="1"/>
    <col min="12547" max="12547" width="11.1796875" style="119" customWidth="1"/>
    <col min="12548" max="12548" width="10.7265625" style="119" customWidth="1"/>
    <col min="12549" max="12549" width="10.453125" style="119" customWidth="1"/>
    <col min="12550" max="12550" width="14.54296875" style="119" customWidth="1"/>
    <col min="12551" max="12798" width="8.81640625" style="119"/>
    <col min="12799" max="12799" width="21.6328125" style="119" customWidth="1"/>
    <col min="12800" max="12800" width="11.7265625" style="119" customWidth="1"/>
    <col min="12801" max="12801" width="11.6328125" style="119" customWidth="1"/>
    <col min="12802" max="12802" width="14.6328125" style="119" customWidth="1"/>
    <col min="12803" max="12803" width="11.1796875" style="119" customWidth="1"/>
    <col min="12804" max="12804" width="10.7265625" style="119" customWidth="1"/>
    <col min="12805" max="12805" width="10.453125" style="119" customWidth="1"/>
    <col min="12806" max="12806" width="14.54296875" style="119" customWidth="1"/>
    <col min="12807" max="13054" width="8.81640625" style="119"/>
    <col min="13055" max="13055" width="21.6328125" style="119" customWidth="1"/>
    <col min="13056" max="13056" width="11.7265625" style="119" customWidth="1"/>
    <col min="13057" max="13057" width="11.6328125" style="119" customWidth="1"/>
    <col min="13058" max="13058" width="14.6328125" style="119" customWidth="1"/>
    <col min="13059" max="13059" width="11.1796875" style="119" customWidth="1"/>
    <col min="13060" max="13060" width="10.7265625" style="119" customWidth="1"/>
    <col min="13061" max="13061" width="10.453125" style="119" customWidth="1"/>
    <col min="13062" max="13062" width="14.54296875" style="119" customWidth="1"/>
    <col min="13063" max="13310" width="8.81640625" style="119"/>
    <col min="13311" max="13311" width="21.6328125" style="119" customWidth="1"/>
    <col min="13312" max="13312" width="11.7265625" style="119" customWidth="1"/>
    <col min="13313" max="13313" width="11.6328125" style="119" customWidth="1"/>
    <col min="13314" max="13314" width="14.6328125" style="119" customWidth="1"/>
    <col min="13315" max="13315" width="11.1796875" style="119" customWidth="1"/>
    <col min="13316" max="13316" width="10.7265625" style="119" customWidth="1"/>
    <col min="13317" max="13317" width="10.453125" style="119" customWidth="1"/>
    <col min="13318" max="13318" width="14.54296875" style="119" customWidth="1"/>
    <col min="13319" max="13566" width="8.81640625" style="119"/>
    <col min="13567" max="13567" width="21.6328125" style="119" customWidth="1"/>
    <col min="13568" max="13568" width="11.7265625" style="119" customWidth="1"/>
    <col min="13569" max="13569" width="11.6328125" style="119" customWidth="1"/>
    <col min="13570" max="13570" width="14.6328125" style="119" customWidth="1"/>
    <col min="13571" max="13571" width="11.1796875" style="119" customWidth="1"/>
    <col min="13572" max="13572" width="10.7265625" style="119" customWidth="1"/>
    <col min="13573" max="13573" width="10.453125" style="119" customWidth="1"/>
    <col min="13574" max="13574" width="14.54296875" style="119" customWidth="1"/>
    <col min="13575" max="13822" width="8.81640625" style="119"/>
    <col min="13823" max="13823" width="21.6328125" style="119" customWidth="1"/>
    <col min="13824" max="13824" width="11.7265625" style="119" customWidth="1"/>
    <col min="13825" max="13825" width="11.6328125" style="119" customWidth="1"/>
    <col min="13826" max="13826" width="14.6328125" style="119" customWidth="1"/>
    <col min="13827" max="13827" width="11.1796875" style="119" customWidth="1"/>
    <col min="13828" max="13828" width="10.7265625" style="119" customWidth="1"/>
    <col min="13829" max="13829" width="10.453125" style="119" customWidth="1"/>
    <col min="13830" max="13830" width="14.54296875" style="119" customWidth="1"/>
    <col min="13831" max="14078" width="8.81640625" style="119"/>
    <col min="14079" max="14079" width="21.6328125" style="119" customWidth="1"/>
    <col min="14080" max="14080" width="11.7265625" style="119" customWidth="1"/>
    <col min="14081" max="14081" width="11.6328125" style="119" customWidth="1"/>
    <col min="14082" max="14082" width="14.6328125" style="119" customWidth="1"/>
    <col min="14083" max="14083" width="11.1796875" style="119" customWidth="1"/>
    <col min="14084" max="14084" width="10.7265625" style="119" customWidth="1"/>
    <col min="14085" max="14085" width="10.453125" style="119" customWidth="1"/>
    <col min="14086" max="14086" width="14.54296875" style="119" customWidth="1"/>
    <col min="14087" max="14334" width="8.81640625" style="119"/>
    <col min="14335" max="14335" width="21.6328125" style="119" customWidth="1"/>
    <col min="14336" max="14336" width="11.7265625" style="119" customWidth="1"/>
    <col min="14337" max="14337" width="11.6328125" style="119" customWidth="1"/>
    <col min="14338" max="14338" width="14.6328125" style="119" customWidth="1"/>
    <col min="14339" max="14339" width="11.1796875" style="119" customWidth="1"/>
    <col min="14340" max="14340" width="10.7265625" style="119" customWidth="1"/>
    <col min="14341" max="14341" width="10.453125" style="119" customWidth="1"/>
    <col min="14342" max="14342" width="14.54296875" style="119" customWidth="1"/>
    <col min="14343" max="14590" width="8.81640625" style="119"/>
    <col min="14591" max="14591" width="21.6328125" style="119" customWidth="1"/>
    <col min="14592" max="14592" width="11.7265625" style="119" customWidth="1"/>
    <col min="14593" max="14593" width="11.6328125" style="119" customWidth="1"/>
    <col min="14594" max="14594" width="14.6328125" style="119" customWidth="1"/>
    <col min="14595" max="14595" width="11.1796875" style="119" customWidth="1"/>
    <col min="14596" max="14596" width="10.7265625" style="119" customWidth="1"/>
    <col min="14597" max="14597" width="10.453125" style="119" customWidth="1"/>
    <col min="14598" max="14598" width="14.54296875" style="119" customWidth="1"/>
    <col min="14599" max="14846" width="8.81640625" style="119"/>
    <col min="14847" max="14847" width="21.6328125" style="119" customWidth="1"/>
    <col min="14848" max="14848" width="11.7265625" style="119" customWidth="1"/>
    <col min="14849" max="14849" width="11.6328125" style="119" customWidth="1"/>
    <col min="14850" max="14850" width="14.6328125" style="119" customWidth="1"/>
    <col min="14851" max="14851" width="11.1796875" style="119" customWidth="1"/>
    <col min="14852" max="14852" width="10.7265625" style="119" customWidth="1"/>
    <col min="14853" max="14853" width="10.453125" style="119" customWidth="1"/>
    <col min="14854" max="14854" width="14.54296875" style="119" customWidth="1"/>
    <col min="14855" max="15102" width="8.81640625" style="119"/>
    <col min="15103" max="15103" width="21.6328125" style="119" customWidth="1"/>
    <col min="15104" max="15104" width="11.7265625" style="119" customWidth="1"/>
    <col min="15105" max="15105" width="11.6328125" style="119" customWidth="1"/>
    <col min="15106" max="15106" width="14.6328125" style="119" customWidth="1"/>
    <col min="15107" max="15107" width="11.1796875" style="119" customWidth="1"/>
    <col min="15108" max="15108" width="10.7265625" style="119" customWidth="1"/>
    <col min="15109" max="15109" width="10.453125" style="119" customWidth="1"/>
    <col min="15110" max="15110" width="14.54296875" style="119" customWidth="1"/>
    <col min="15111" max="15358" width="8.81640625" style="119"/>
    <col min="15359" max="15359" width="21.6328125" style="119" customWidth="1"/>
    <col min="15360" max="15360" width="11.7265625" style="119" customWidth="1"/>
    <col min="15361" max="15361" width="11.6328125" style="119" customWidth="1"/>
    <col min="15362" max="15362" width="14.6328125" style="119" customWidth="1"/>
    <col min="15363" max="15363" width="11.1796875" style="119" customWidth="1"/>
    <col min="15364" max="15364" width="10.7265625" style="119" customWidth="1"/>
    <col min="15365" max="15365" width="10.453125" style="119" customWidth="1"/>
    <col min="15366" max="15366" width="14.54296875" style="119" customWidth="1"/>
    <col min="15367" max="15614" width="8.81640625" style="119"/>
    <col min="15615" max="15615" width="21.6328125" style="119" customWidth="1"/>
    <col min="15616" max="15616" width="11.7265625" style="119" customWidth="1"/>
    <col min="15617" max="15617" width="11.6328125" style="119" customWidth="1"/>
    <col min="15618" max="15618" width="14.6328125" style="119" customWidth="1"/>
    <col min="15619" max="15619" width="11.1796875" style="119" customWidth="1"/>
    <col min="15620" max="15620" width="10.7265625" style="119" customWidth="1"/>
    <col min="15621" max="15621" width="10.453125" style="119" customWidth="1"/>
    <col min="15622" max="15622" width="14.54296875" style="119" customWidth="1"/>
    <col min="15623" max="15870" width="8.81640625" style="119"/>
    <col min="15871" max="15871" width="21.6328125" style="119" customWidth="1"/>
    <col min="15872" max="15872" width="11.7265625" style="119" customWidth="1"/>
    <col min="15873" max="15873" width="11.6328125" style="119" customWidth="1"/>
    <col min="15874" max="15874" width="14.6328125" style="119" customWidth="1"/>
    <col min="15875" max="15875" width="11.1796875" style="119" customWidth="1"/>
    <col min="15876" max="15876" width="10.7265625" style="119" customWidth="1"/>
    <col min="15877" max="15877" width="10.453125" style="119" customWidth="1"/>
    <col min="15878" max="15878" width="14.54296875" style="119" customWidth="1"/>
    <col min="15879" max="16126" width="8.81640625" style="119"/>
    <col min="16127" max="16127" width="21.6328125" style="119" customWidth="1"/>
    <col min="16128" max="16128" width="11.7265625" style="119" customWidth="1"/>
    <col min="16129" max="16129" width="11.6328125" style="119" customWidth="1"/>
    <col min="16130" max="16130" width="14.6328125" style="119" customWidth="1"/>
    <col min="16131" max="16131" width="11.1796875" style="119" customWidth="1"/>
    <col min="16132" max="16132" width="10.7265625" style="119" customWidth="1"/>
    <col min="16133" max="16133" width="10.453125" style="119" customWidth="1"/>
    <col min="16134" max="16134" width="14.54296875" style="119" customWidth="1"/>
    <col min="16135" max="16384" width="8.81640625" style="119"/>
  </cols>
  <sheetData>
    <row r="1" spans="1:22" ht="17" customHeight="1">
      <c r="A1" s="313" t="s">
        <v>229</v>
      </c>
      <c r="B1" s="314"/>
      <c r="C1" s="314"/>
      <c r="D1" s="314"/>
      <c r="E1" s="314"/>
      <c r="F1" s="314"/>
      <c r="G1" s="315"/>
      <c r="I1" s="313" t="s">
        <v>245</v>
      </c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  <c r="U1" s="314"/>
      <c r="V1" s="315"/>
    </row>
    <row r="2" spans="1:22" ht="20" customHeight="1">
      <c r="A2" s="316"/>
      <c r="B2" s="317"/>
      <c r="C2" s="317"/>
      <c r="D2" s="317"/>
      <c r="E2" s="317"/>
      <c r="F2" s="317"/>
      <c r="G2" s="318"/>
      <c r="I2" s="316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8"/>
    </row>
    <row r="3" spans="1:22" ht="27" customHeight="1" thickBot="1">
      <c r="A3" s="319"/>
      <c r="B3" s="320"/>
      <c r="C3" s="320"/>
      <c r="D3" s="320"/>
      <c r="E3" s="320"/>
      <c r="F3" s="320"/>
      <c r="G3" s="321"/>
      <c r="I3" s="319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1"/>
    </row>
    <row r="4" spans="1:22" ht="37" customHeight="1" thickBot="1">
      <c r="A4" s="293" t="s">
        <v>198</v>
      </c>
      <c r="B4" s="122" t="s">
        <v>131</v>
      </c>
      <c r="C4" s="123" t="s">
        <v>132</v>
      </c>
      <c r="D4" s="124" t="s">
        <v>133</v>
      </c>
      <c r="E4" s="123" t="s">
        <v>134</v>
      </c>
      <c r="F4" s="123" t="s">
        <v>135</v>
      </c>
      <c r="G4" s="267" t="s">
        <v>136</v>
      </c>
      <c r="I4" s="292" t="s">
        <v>246</v>
      </c>
      <c r="J4" s="291"/>
      <c r="K4" s="261" t="s">
        <v>156</v>
      </c>
      <c r="L4" s="262" t="s">
        <v>157</v>
      </c>
      <c r="M4" s="261" t="s">
        <v>158</v>
      </c>
      <c r="N4" s="261" t="s">
        <v>132</v>
      </c>
      <c r="O4" s="263" t="s">
        <v>244</v>
      </c>
      <c r="P4" s="264" t="s">
        <v>160</v>
      </c>
      <c r="Q4" s="265" t="s">
        <v>161</v>
      </c>
      <c r="R4" s="266" t="s">
        <v>162</v>
      </c>
      <c r="U4" s="159" t="s">
        <v>137</v>
      </c>
    </row>
    <row r="5" spans="1:22" ht="17.149999999999999" customHeight="1" thickBot="1">
      <c r="A5" s="294"/>
      <c r="B5" s="125" t="e">
        <f>1/(B6*B7*B8*B9*B10*B11*B13*B14*B15*B16*B18*B19*B21)</f>
        <v>#N/A</v>
      </c>
      <c r="C5" s="126" t="s">
        <v>137</v>
      </c>
      <c r="D5" s="127" t="s">
        <v>138</v>
      </c>
      <c r="E5" s="128"/>
      <c r="F5" s="127" t="s">
        <v>138</v>
      </c>
      <c r="G5" s="268"/>
      <c r="I5" s="286" t="s">
        <v>163</v>
      </c>
      <c r="J5" s="287"/>
      <c r="K5" s="151" t="s">
        <v>164</v>
      </c>
      <c r="L5" s="152"/>
      <c r="M5" s="153">
        <v>1</v>
      </c>
      <c r="N5" s="154">
        <v>1</v>
      </c>
      <c r="O5" s="155">
        <f t="shared" ref="O5:O10" si="0">L5*M5*N5</f>
        <v>0</v>
      </c>
      <c r="P5" s="156"/>
      <c r="Q5" s="157">
        <f t="shared" ref="Q5:Q12" si="1">O5*P5</f>
        <v>0</v>
      </c>
      <c r="R5" s="158" t="e">
        <f>Q5/#REF!</f>
        <v>#REF!</v>
      </c>
    </row>
    <row r="6" spans="1:22" ht="17.149999999999999" customHeight="1">
      <c r="A6" s="129" t="s">
        <v>140</v>
      </c>
      <c r="B6" s="130" t="e">
        <f>IF(C6="","",C6)</f>
        <v>#N/A</v>
      </c>
      <c r="C6" s="131" t="e">
        <f>IF((INDEX(Yield!B:B,MATCH(TD!$A$5,Yield!A:A,0)))="","",INDEX(Yield!B:B,MATCH(TD!$A$5,Yield!A:A,0)))</f>
        <v>#N/A</v>
      </c>
      <c r="D6" s="132" t="e">
        <f>IF((INDEX('MC Speed'!B:B,MATCH(TD!$A$5,'MC Speed'!A:A,0)))="","",INDEX('MC Speed'!B:B,MATCH(TD!$A$5,'MC Speed'!A:A,0)))</f>
        <v>#N/A</v>
      </c>
      <c r="E6" s="260" t="e">
        <f>IF((INDEX('EFF''CY'!B:B,MATCH(TD!$A$5,'EFF''CY'!A:A,0)))="","",INDEX('EFF''CY'!B:B,MATCH(TD!$A$5,'EFF''CY'!A:A,0)))</f>
        <v>#N/A</v>
      </c>
      <c r="F6" s="133" t="str">
        <f>IFERROR(D6*E6*1/B6,"")</f>
        <v/>
      </c>
      <c r="G6" s="269" t="str">
        <f>IFERROR(F6*24*30*0.95,"")</f>
        <v/>
      </c>
      <c r="H6" s="134" t="s">
        <v>139</v>
      </c>
      <c r="I6" s="286" t="s">
        <v>165</v>
      </c>
      <c r="J6" s="288"/>
      <c r="K6" s="151" t="s">
        <v>164</v>
      </c>
      <c r="L6" s="152"/>
      <c r="M6" s="153">
        <v>1</v>
      </c>
      <c r="N6" s="154">
        <v>1</v>
      </c>
      <c r="O6" s="155">
        <f t="shared" si="0"/>
        <v>0</v>
      </c>
      <c r="P6" s="156"/>
      <c r="Q6" s="157">
        <f t="shared" si="1"/>
        <v>0</v>
      </c>
      <c r="R6" s="158" t="e">
        <f>Q6/#REF!</f>
        <v>#REF!</v>
      </c>
    </row>
    <row r="7" spans="1:22" ht="17.149999999999999" customHeight="1">
      <c r="A7" s="135" t="s">
        <v>141</v>
      </c>
      <c r="B7" s="130" t="e">
        <f t="shared" ref="B7:B21" si="2">IF(C7="","",C7)</f>
        <v>#N/A</v>
      </c>
      <c r="C7" s="131" t="e">
        <f>IF((INDEX(Yield!C:C,MATCH(TD!$A$5,Yield!A:A,0)))="","",INDEX(Yield!C:C,MATCH(TD!$A$5,Yield!A:A,0)))</f>
        <v>#N/A</v>
      </c>
      <c r="D7" s="132" t="e">
        <f>IF((INDEX('MC Speed'!C:C,MATCH(TD!$A$5,'MC Speed'!A:A,0)))="","",INDEX('MC Speed'!C:C,MATCH(TD!$A$5,'MC Speed'!A:A,0)))</f>
        <v>#N/A</v>
      </c>
      <c r="E7" s="260" t="e">
        <f>IF((INDEX('EFF''CY'!C:C,MATCH(TD!$A$5,'EFF''CY'!A:A,0)))="","",INDEX('EFF''CY'!C:C,MATCH(TD!$A$5,'EFF''CY'!A:A,0)))</f>
        <v>#N/A</v>
      </c>
      <c r="F7" s="133" t="str">
        <f t="shared" ref="F7:F21" si="3">IFERROR(D7*E7*1/B7,"")</f>
        <v/>
      </c>
      <c r="G7" s="269" t="str">
        <f t="shared" ref="G7:G21" si="4">IFERROR(F7*24*30*0.95,"")</f>
        <v/>
      </c>
      <c r="H7" s="134" t="s">
        <v>139</v>
      </c>
      <c r="I7" s="286" t="s">
        <v>166</v>
      </c>
      <c r="J7" s="161"/>
      <c r="K7" s="151" t="s">
        <v>164</v>
      </c>
      <c r="L7" s="162"/>
      <c r="M7" s="153">
        <v>1</v>
      </c>
      <c r="N7" s="154">
        <v>1</v>
      </c>
      <c r="O7" s="155">
        <f t="shared" si="0"/>
        <v>0</v>
      </c>
      <c r="P7" s="156"/>
      <c r="Q7" s="157">
        <f t="shared" si="1"/>
        <v>0</v>
      </c>
      <c r="R7" s="158" t="e">
        <f>Q7/#REF!</f>
        <v>#REF!</v>
      </c>
    </row>
    <row r="8" spans="1:22" ht="17.149999999999999" customHeight="1">
      <c r="A8" s="135" t="s">
        <v>142</v>
      </c>
      <c r="B8" s="130" t="e">
        <f t="shared" si="2"/>
        <v>#N/A</v>
      </c>
      <c r="C8" s="131" t="e">
        <f>IF((INDEX(Yield!D:D,MATCH(TD!$A$5,Yield!A:A,0)))="","",INDEX(Yield!D:D,MATCH(TD!$A$5,Yield!A:A,0)))</f>
        <v>#N/A</v>
      </c>
      <c r="D8" s="132" t="e">
        <f>IF((INDEX('MC Speed'!D:D,MATCH(TD!$A$5,'MC Speed'!A:A,0)))="","",INDEX('MC Speed'!D:D,MATCH(TD!$A$5,'MC Speed'!A:A,0)))</f>
        <v>#N/A</v>
      </c>
      <c r="E8" s="260" t="e">
        <f>IF((INDEX('EFF''CY'!D:D,MATCH(TD!$A$5,'EFF''CY'!A:A,0)))="","",INDEX('EFF''CY'!D:D,MATCH(TD!$A$5,'EFF''CY'!A:A,0)))</f>
        <v>#N/A</v>
      </c>
      <c r="F8" s="133" t="str">
        <f t="shared" si="3"/>
        <v/>
      </c>
      <c r="G8" s="269" t="str">
        <f t="shared" si="4"/>
        <v/>
      </c>
      <c r="H8" s="136" t="s">
        <v>139</v>
      </c>
      <c r="I8" s="286" t="s">
        <v>167</v>
      </c>
      <c r="J8" s="289"/>
      <c r="K8" s="151" t="s">
        <v>168</v>
      </c>
      <c r="L8" s="152"/>
      <c r="M8" s="153">
        <v>1.1000000000000001</v>
      </c>
      <c r="N8" s="154">
        <v>1</v>
      </c>
      <c r="O8" s="155">
        <f t="shared" si="0"/>
        <v>0</v>
      </c>
      <c r="P8" s="156"/>
      <c r="Q8" s="157">
        <f t="shared" si="1"/>
        <v>0</v>
      </c>
      <c r="R8" s="158" t="e">
        <f>Q8/#REF!</f>
        <v>#REF!</v>
      </c>
    </row>
    <row r="9" spans="1:22" ht="17.149999999999999" customHeight="1">
      <c r="A9" s="135" t="s">
        <v>143</v>
      </c>
      <c r="B9" s="130" t="e">
        <f t="shared" si="2"/>
        <v>#N/A</v>
      </c>
      <c r="C9" s="131" t="e">
        <f>IF((INDEX(Yield!E:E,MATCH(TD!$A$5,Yield!A:A,0)))="","",INDEX(Yield!E:E,MATCH(TD!$A$5,Yield!A:A,0)))</f>
        <v>#N/A</v>
      </c>
      <c r="D9" s="132" t="e">
        <f>IF((INDEX('MC Speed'!E:E,MATCH(TD!$A$5,'MC Speed'!A:A,0)))="","",INDEX('MC Speed'!E:E,MATCH(TD!$A$5,'MC Speed'!A:A,0)))</f>
        <v>#N/A</v>
      </c>
      <c r="E9" s="260" t="e">
        <f>IF((INDEX('EFF''CY'!E:E,MATCH(TD!$A$5,'EFF''CY'!A:A,0)))="","",INDEX('EFF''CY'!E:E,MATCH(TD!$A$5,'EFF''CY'!A:A,0)))</f>
        <v>#N/A</v>
      </c>
      <c r="F9" s="133" t="str">
        <f t="shared" si="3"/>
        <v/>
      </c>
      <c r="G9" s="269" t="str">
        <f t="shared" si="4"/>
        <v/>
      </c>
      <c r="H9" s="136"/>
      <c r="I9" s="286" t="s">
        <v>169</v>
      </c>
      <c r="J9" s="289"/>
      <c r="K9" s="151" t="s">
        <v>168</v>
      </c>
      <c r="L9" s="164"/>
      <c r="M9" s="153">
        <v>1.1000000000000001</v>
      </c>
      <c r="N9" s="154">
        <v>1</v>
      </c>
      <c r="O9" s="155">
        <f t="shared" si="0"/>
        <v>0</v>
      </c>
      <c r="P9" s="156"/>
      <c r="Q9" s="157">
        <f t="shared" si="1"/>
        <v>0</v>
      </c>
      <c r="R9" s="158" t="e">
        <f>Q9/#REF!</f>
        <v>#REF!</v>
      </c>
    </row>
    <row r="10" spans="1:22" ht="17.149999999999999" customHeight="1">
      <c r="A10" s="137" t="s">
        <v>144</v>
      </c>
      <c r="B10" s="130" t="e">
        <f t="shared" si="2"/>
        <v>#N/A</v>
      </c>
      <c r="C10" s="131" t="e">
        <f>IF((INDEX(Yield!F:F,MATCH(TD!$A$5,Yield!A:A,0)))="","",INDEX(Yield!F:F,MATCH(TD!$A$5,Yield!A:A,0)))</f>
        <v>#N/A</v>
      </c>
      <c r="D10" s="132" t="e">
        <f>IF((INDEX('MC Speed'!F:F,MATCH(TD!$A$5,'MC Speed'!A:A,0)))="","",INDEX('MC Speed'!F:F,MATCH(TD!$A$5,'MC Speed'!A:A,0)))</f>
        <v>#N/A</v>
      </c>
      <c r="E10" s="260" t="e">
        <f>IF((INDEX('EFF''CY'!F:F,MATCH(TD!$A$5,'EFF''CY'!A:A,0)))="","",INDEX('EFF''CY'!F:F,MATCH(TD!$A$5,'EFF''CY'!A:A,0)))</f>
        <v>#N/A</v>
      </c>
      <c r="F10" s="133" t="str">
        <f t="shared" si="3"/>
        <v/>
      </c>
      <c r="G10" s="269" t="str">
        <f t="shared" si="4"/>
        <v/>
      </c>
      <c r="H10" s="134" t="s">
        <v>139</v>
      </c>
      <c r="I10" s="286" t="s">
        <v>170</v>
      </c>
      <c r="J10" s="289"/>
      <c r="K10" s="151" t="s">
        <v>168</v>
      </c>
      <c r="L10" s="157"/>
      <c r="M10" s="153">
        <v>1.1000000000000001</v>
      </c>
      <c r="N10" s="154">
        <v>1</v>
      </c>
      <c r="O10" s="155">
        <f t="shared" si="0"/>
        <v>0</v>
      </c>
      <c r="P10" s="156"/>
      <c r="Q10" s="157">
        <f t="shared" si="1"/>
        <v>0</v>
      </c>
      <c r="R10" s="158" t="e">
        <f>Q10/#REF!</f>
        <v>#REF!</v>
      </c>
    </row>
    <row r="11" spans="1:22" ht="17.149999999999999" customHeight="1">
      <c r="A11" s="135" t="s">
        <v>145</v>
      </c>
      <c r="B11" s="130" t="e">
        <f t="shared" si="2"/>
        <v>#N/A</v>
      </c>
      <c r="C11" s="131" t="e">
        <f>IF((INDEX(Yield!G:G,MATCH(TD!$A$5,Yield!A:A,0)))="","",INDEX(Yield!G:G,MATCH(TD!$A$5,Yield!A:A,0)))</f>
        <v>#N/A</v>
      </c>
      <c r="D11" s="132" t="e">
        <f>IF((INDEX('MC Speed'!G:G,MATCH(TD!$A$5,'MC Speed'!A:A,0)))="","",INDEX('MC Speed'!G:G,MATCH(TD!$A$5,'MC Speed'!A:A,0)))</f>
        <v>#N/A</v>
      </c>
      <c r="E11" s="260" t="e">
        <f>IF((INDEX('EFF''CY'!G:G,MATCH(TD!$A$5,'EFF''CY'!A:A,0)))="","",INDEX('EFF''CY'!G:G,MATCH(TD!$A$5,'EFF''CY'!A:A,0)))</f>
        <v>#N/A</v>
      </c>
      <c r="F11" s="133" t="str">
        <f t="shared" si="3"/>
        <v/>
      </c>
      <c r="G11" s="269" t="str">
        <f t="shared" si="4"/>
        <v/>
      </c>
      <c r="H11" s="134"/>
      <c r="I11" s="286" t="s">
        <v>118</v>
      </c>
      <c r="J11" s="289"/>
      <c r="K11" s="151" t="s">
        <v>164</v>
      </c>
      <c r="L11" s="165"/>
      <c r="M11" s="153">
        <v>1.1000000000000001</v>
      </c>
      <c r="N11" s="154">
        <v>1</v>
      </c>
      <c r="O11" s="155">
        <f>L11*M11*N11</f>
        <v>0</v>
      </c>
      <c r="P11" s="156"/>
      <c r="Q11" s="157">
        <f t="shared" si="1"/>
        <v>0</v>
      </c>
      <c r="R11" s="166" t="e">
        <f>Q11/#REF!</f>
        <v>#REF!</v>
      </c>
    </row>
    <row r="12" spans="1:22" ht="17.149999999999999" customHeight="1">
      <c r="A12" s="135" t="s">
        <v>227</v>
      </c>
      <c r="B12" s="130" t="e">
        <f t="shared" si="2"/>
        <v>#N/A</v>
      </c>
      <c r="C12" s="131" t="e">
        <f>IF((INDEX(Yield!H:H,MATCH(TD!$A$5,Yield!A:A,0)))="","",INDEX(Yield!H:H,MATCH(TD!$A$5,Yield!A:A,0)))</f>
        <v>#N/A</v>
      </c>
      <c r="D12" s="132" t="e">
        <f>IF((INDEX('MC Speed'!H:H,MATCH(TD!$A$5,'MC Speed'!A:A,0)))="","",INDEX('MC Speed'!H:H,MATCH(TD!$A$5,'MC Speed'!A:A,0)))</f>
        <v>#N/A</v>
      </c>
      <c r="E12" s="260" t="e">
        <f>IF((INDEX('EFF''CY'!H:H,MATCH(TD!$A$5,'EFF''CY'!A:A,0)))="","",INDEX('EFF''CY'!H:H,MATCH(TD!$A$5,'EFF''CY'!A:A,0)))</f>
        <v>#N/A</v>
      </c>
      <c r="F12" s="133" t="str">
        <f t="shared" si="3"/>
        <v/>
      </c>
      <c r="G12" s="269" t="str">
        <f t="shared" si="4"/>
        <v/>
      </c>
      <c r="H12" s="134"/>
      <c r="I12" s="286" t="s">
        <v>119</v>
      </c>
      <c r="J12" s="289"/>
      <c r="K12" s="151" t="s">
        <v>164</v>
      </c>
      <c r="L12" s="165"/>
      <c r="M12" s="153">
        <v>1.1000000000000001</v>
      </c>
      <c r="N12" s="154">
        <v>1</v>
      </c>
      <c r="O12" s="155">
        <f>L12*M12*N12</f>
        <v>0</v>
      </c>
      <c r="P12" s="156"/>
      <c r="Q12" s="157">
        <f t="shared" si="1"/>
        <v>0</v>
      </c>
      <c r="R12" s="158" t="e">
        <f>Q12/#REF!</f>
        <v>#REF!</v>
      </c>
    </row>
    <row r="13" spans="1:22" ht="17.149999999999999" customHeight="1" thickBot="1">
      <c r="A13" s="135" t="s">
        <v>146</v>
      </c>
      <c r="B13" s="130" t="e">
        <f t="shared" si="2"/>
        <v>#N/A</v>
      </c>
      <c r="C13" s="131" t="e">
        <f>IF((INDEX(Yield!I:I,MATCH(TD!$A$5,Yield!A:A,0)))="","",INDEX(Yield!I:I,MATCH(TD!$A$5,Yield!A:A,0)))</f>
        <v>#N/A</v>
      </c>
      <c r="D13" s="132" t="e">
        <f>IF((INDEX('MC Speed'!I:I,MATCH(TD!$A$5,'MC Speed'!A:A,0)))="","",INDEX('MC Speed'!I:I,MATCH(TD!$A$5,'MC Speed'!A:A,0)))</f>
        <v>#N/A</v>
      </c>
      <c r="E13" s="260" t="e">
        <f>IF((INDEX('EFF''CY'!I:I,MATCH(TD!$A$5,'EFF''CY'!A:A,0)))="","",INDEX('EFF''CY'!I:I,MATCH(TD!$A$5,'EFF''CY'!A:A,0)))</f>
        <v>#N/A</v>
      </c>
      <c r="F13" s="133" t="str">
        <f t="shared" si="3"/>
        <v/>
      </c>
      <c r="G13" s="269" t="str">
        <f t="shared" si="4"/>
        <v/>
      </c>
      <c r="H13" s="134" t="s">
        <v>139</v>
      </c>
      <c r="I13" s="290" t="s">
        <v>120</v>
      </c>
      <c r="J13" s="289"/>
      <c r="K13" s="151" t="s">
        <v>171</v>
      </c>
      <c r="L13" s="165"/>
      <c r="M13" s="157"/>
      <c r="N13" s="152"/>
      <c r="O13" s="155"/>
      <c r="P13" s="168"/>
      <c r="Q13" s="157">
        <v>6.7000000000000004E-2</v>
      </c>
      <c r="R13" s="158" t="e">
        <f>Q13/#REF!</f>
        <v>#REF!</v>
      </c>
    </row>
    <row r="14" spans="1:22" ht="17.149999999999999" customHeight="1">
      <c r="A14" s="137" t="s">
        <v>147</v>
      </c>
      <c r="B14" s="130" t="e">
        <f t="shared" si="2"/>
        <v>#N/A</v>
      </c>
      <c r="C14" s="131" t="e">
        <f>IF((INDEX(Yield!J:J,MATCH(TD!$A$5,Yield!A:A,0)))="","",INDEX(Yield!J:J,MATCH(TD!$A$5,Yield!A:A,0)))</f>
        <v>#N/A</v>
      </c>
      <c r="D14" s="132" t="e">
        <f>IF((INDEX('MC Speed'!J:J,MATCH(TD!$A$5,'MC Speed'!A:A,0)))="","",INDEX('MC Speed'!J:J,MATCH(TD!$A$5,'MC Speed'!A:A,0)))</f>
        <v>#N/A</v>
      </c>
      <c r="E14" s="260" t="e">
        <f>IF((INDEX('EFF''CY'!J:J,MATCH(TD!$A$5,'EFF''CY'!A:A,0)))="","",INDEX('EFF''CY'!J:J,MATCH(TD!$A$5,'EFF''CY'!A:A,0)))</f>
        <v>#N/A</v>
      </c>
      <c r="F14" s="133" t="str">
        <f t="shared" si="3"/>
        <v/>
      </c>
      <c r="G14" s="269" t="str">
        <f t="shared" si="4"/>
        <v/>
      </c>
      <c r="H14" s="134" t="s">
        <v>139</v>
      </c>
    </row>
    <row r="15" spans="1:22" ht="17.149999999999999" customHeight="1">
      <c r="A15" s="138" t="s">
        <v>148</v>
      </c>
      <c r="B15" s="130" t="e">
        <f t="shared" si="2"/>
        <v>#N/A</v>
      </c>
      <c r="C15" s="131" t="e">
        <f>IF((INDEX(Yield!K:K,MATCH(TD!$A$5,Yield!A:A,0)))="","",INDEX(Yield!K:K,MATCH(TD!$A$5,Yield!A:A,0)))</f>
        <v>#N/A</v>
      </c>
      <c r="D15" s="132" t="e">
        <f>IF((INDEX('MC Speed'!K:K,MATCH(TD!$A$5,'MC Speed'!A:A,0)))="","",INDEX('MC Speed'!K:K,MATCH(TD!$A$5,'MC Speed'!A:A,0)))</f>
        <v>#N/A</v>
      </c>
      <c r="E15" s="260" t="e">
        <f>IF((INDEX('EFF''CY'!K:K,MATCH(TD!$A$5,'EFF''CY'!A:A,0)))="","",INDEX('EFF''CY'!K:K,MATCH(TD!$A$5,'EFF''CY'!A:A,0)))</f>
        <v>#N/A</v>
      </c>
      <c r="F15" s="133" t="str">
        <f t="shared" si="3"/>
        <v/>
      </c>
      <c r="G15" s="269" t="str">
        <f t="shared" si="4"/>
        <v/>
      </c>
      <c r="H15" s="139" t="s">
        <v>139</v>
      </c>
    </row>
    <row r="16" spans="1:22" ht="17.149999999999999" customHeight="1" thickBot="1">
      <c r="A16" s="138" t="s">
        <v>149</v>
      </c>
      <c r="B16" s="130" t="e">
        <f t="shared" si="2"/>
        <v>#N/A</v>
      </c>
      <c r="C16" s="131" t="e">
        <f>IF((INDEX(Yield!L:L,MATCH(TD!$A$5,Yield!A:A,0)))="","",INDEX(Yield!L:L,MATCH(TD!$A$5,Yield!A:A,0)))</f>
        <v>#N/A</v>
      </c>
      <c r="D16" s="132" t="e">
        <f>IF((INDEX('MC Speed'!L:L,MATCH(TD!$A$5,'MC Speed'!A:A,0)))="","",INDEX('MC Speed'!L:L,MATCH(TD!$A$5,'MC Speed'!A:A,0)))</f>
        <v>#N/A</v>
      </c>
      <c r="E16" s="260" t="e">
        <f>IF((INDEX('EFF''CY'!L:L,MATCH(TD!$A$5,'EFF''CY'!A:A,0)))="","",INDEX('EFF''CY'!L:L,MATCH(TD!$A$5,'EFF''CY'!A:A,0)))</f>
        <v>#N/A</v>
      </c>
      <c r="F16" s="133" t="str">
        <f t="shared" si="3"/>
        <v/>
      </c>
      <c r="G16" s="269" t="str">
        <f t="shared" si="4"/>
        <v/>
      </c>
      <c r="H16" s="139" t="s">
        <v>139</v>
      </c>
      <c r="I16" s="169"/>
      <c r="J16" s="170"/>
      <c r="K16" s="170"/>
      <c r="L16" s="171" t="s">
        <v>172</v>
      </c>
      <c r="M16" s="170"/>
      <c r="N16" s="170"/>
      <c r="O16" s="170"/>
      <c r="P16" s="170"/>
      <c r="Q16" s="172">
        <f>SUM(Q5:Q13)</f>
        <v>6.7000000000000004E-2</v>
      </c>
      <c r="R16" s="173" t="e">
        <f>Q16/Q38</f>
        <v>#DIV/0!</v>
      </c>
    </row>
    <row r="17" spans="1:22" ht="17.149999999999999" customHeight="1" thickBot="1">
      <c r="A17" s="138" t="s">
        <v>150</v>
      </c>
      <c r="B17" s="130" t="e">
        <f t="shared" si="2"/>
        <v>#N/A</v>
      </c>
      <c r="C17" s="131" t="e">
        <f>IF((INDEX(Yield!M:M,MATCH(TD!$A$5,Yield!A:A,0)))="","",INDEX(Yield!M:M,MATCH(TD!$A$5,Yield!A:A,0)))</f>
        <v>#N/A</v>
      </c>
      <c r="D17" s="132" t="e">
        <f>IF((INDEX('MC Speed'!M:M,MATCH(TD!$A$5,'MC Speed'!A:A,0)))="","",INDEX('MC Speed'!M:M,MATCH(TD!$A$5,'MC Speed'!A:A,0)))</f>
        <v>#N/A</v>
      </c>
      <c r="E17" s="260" t="e">
        <f>IF((INDEX('EFF''CY'!M:M,MATCH(TD!$A$5,'EFF''CY'!A:A,0)))="","",INDEX('EFF''CY'!M:M,MATCH(TD!$A$5,'EFF''CY'!A:A,0)))</f>
        <v>#N/A</v>
      </c>
      <c r="F17" s="133" t="str">
        <f t="shared" si="3"/>
        <v/>
      </c>
      <c r="G17" s="269" t="str">
        <f t="shared" si="4"/>
        <v/>
      </c>
      <c r="H17" s="139"/>
    </row>
    <row r="18" spans="1:22" ht="17.149999999999999" customHeight="1" thickBot="1">
      <c r="A18" s="138" t="s">
        <v>151</v>
      </c>
      <c r="B18" s="130" t="e">
        <f t="shared" si="2"/>
        <v>#N/A</v>
      </c>
      <c r="C18" s="131" t="e">
        <f>IF((INDEX(Yield!N:N,MATCH(TD!$A$5,Yield!A:A,0)))="","",INDEX(Yield!N:N,MATCH(TD!$A$5,Yield!A:A,0)))</f>
        <v>#N/A</v>
      </c>
      <c r="D18" s="132" t="e">
        <f>IF((INDEX('MC Speed'!N:N,MATCH(TD!$A$5,'MC Speed'!A:A,0)))="","",INDEX('MC Speed'!N:N,MATCH(TD!$A$5,'MC Speed'!A:A,0)))</f>
        <v>#N/A</v>
      </c>
      <c r="E18" s="260" t="e">
        <f>IF((INDEX('EFF''CY'!N:N,MATCH(TD!$A$5,'EFF''CY'!A:A,0)))="","",INDEX('EFF''CY'!N:N,MATCH(TD!$A$5,'EFF''CY'!A:A,0)))</f>
        <v>#N/A</v>
      </c>
      <c r="F18" s="133" t="str">
        <f t="shared" si="3"/>
        <v/>
      </c>
      <c r="G18" s="269" t="str">
        <f t="shared" si="4"/>
        <v/>
      </c>
      <c r="H18" s="139" t="s">
        <v>139</v>
      </c>
      <c r="I18" s="174" t="s">
        <v>173</v>
      </c>
      <c r="J18" s="175" t="s">
        <v>174</v>
      </c>
      <c r="K18" s="176" t="s">
        <v>175</v>
      </c>
      <c r="L18" s="176" t="s">
        <v>176</v>
      </c>
      <c r="M18" s="176" t="s">
        <v>177</v>
      </c>
      <c r="N18" s="176" t="s">
        <v>132</v>
      </c>
      <c r="O18" s="176" t="s">
        <v>178</v>
      </c>
      <c r="P18" s="176" t="s">
        <v>179</v>
      </c>
      <c r="Q18" s="176" t="s">
        <v>180</v>
      </c>
      <c r="R18" s="177" t="s">
        <v>181</v>
      </c>
      <c r="S18" s="178" t="s">
        <v>182</v>
      </c>
      <c r="T18" s="145" t="s">
        <v>230</v>
      </c>
      <c r="U18" s="145" t="s">
        <v>231</v>
      </c>
      <c r="V18" s="179" t="s">
        <v>185</v>
      </c>
    </row>
    <row r="19" spans="1:22" ht="17.149999999999999" customHeight="1" thickBot="1">
      <c r="A19" s="138" t="s">
        <v>152</v>
      </c>
      <c r="B19" s="130" t="e">
        <f t="shared" si="2"/>
        <v>#N/A</v>
      </c>
      <c r="C19" s="131" t="e">
        <f>IF((INDEX(Yield!O:O,MATCH(TD!$A$5,Yield!A:A,0)))="","",INDEX(Yield!O:O,MATCH(TD!$A$5,Yield!A:A,0)))</f>
        <v>#N/A</v>
      </c>
      <c r="D19" s="132" t="e">
        <f>IF((INDEX('MC Speed'!O:O,MATCH(TD!$A$5,'MC Speed'!A:A,0)))="","",INDEX('MC Speed'!O:O,MATCH(TD!$A$5,'MC Speed'!A:A,0)))</f>
        <v>#N/A</v>
      </c>
      <c r="E19" s="260" t="e">
        <f>IF((INDEX('EFF''CY'!O:O,MATCH(TD!$A$5,'EFF''CY'!A:A,0)))="","",INDEX('EFF''CY'!O:O,MATCH(TD!$A$5,'EFF''CY'!A:A,0)))</f>
        <v>#N/A</v>
      </c>
      <c r="F19" s="133" t="str">
        <f t="shared" si="3"/>
        <v/>
      </c>
      <c r="G19" s="269" t="str">
        <f t="shared" si="4"/>
        <v/>
      </c>
      <c r="H19" s="139" t="s">
        <v>139</v>
      </c>
      <c r="I19" s="180" t="s">
        <v>140</v>
      </c>
      <c r="J19" s="181"/>
      <c r="K19" s="182"/>
      <c r="L19" s="183" t="e">
        <f t="shared" ref="L19:L32" si="5">60/K19*J19</f>
        <v>#DIV/0!</v>
      </c>
      <c r="M19" s="184" t="e">
        <f>1/E6</f>
        <v>#N/A</v>
      </c>
      <c r="N19" s="184" t="e">
        <f>C6</f>
        <v>#N/A</v>
      </c>
      <c r="O19" s="183" t="e">
        <f t="shared" ref="O19:O32" si="6">L19*M19*N19</f>
        <v>#DIV/0!</v>
      </c>
      <c r="P19" s="185"/>
      <c r="Q19" s="183" t="e">
        <f t="shared" ref="Q19:Q32" si="7">O19*P19</f>
        <v>#DIV/0!</v>
      </c>
      <c r="R19" s="186" t="e">
        <f>Q19/#REF!</f>
        <v>#DIV/0!</v>
      </c>
      <c r="S19" s="187"/>
      <c r="T19" s="183" t="e">
        <f t="shared" ref="T19:T32" si="8">1*S19*O19</f>
        <v>#DIV/0!</v>
      </c>
      <c r="U19" s="184" t="e">
        <f>T19*2.43</f>
        <v>#DIV/0!</v>
      </c>
      <c r="V19" s="188" t="e">
        <f>T19*0</f>
        <v>#DIV/0!</v>
      </c>
    </row>
    <row r="20" spans="1:22" ht="17.149999999999999" customHeight="1" thickBot="1">
      <c r="A20" s="138" t="s">
        <v>228</v>
      </c>
      <c r="B20" s="130" t="e">
        <f t="shared" si="2"/>
        <v>#N/A</v>
      </c>
      <c r="C20" s="131" t="e">
        <f>IF((INDEX(Yield!P:P,MATCH(TD!$A$5,Yield!A:A,0)))="","",INDEX(Yield!P:P,MATCH(TD!$A$5,Yield!A:A,0)))</f>
        <v>#N/A</v>
      </c>
      <c r="D20" s="132" t="e">
        <f>IF((INDEX('MC Speed'!P:P,MATCH(TD!$A$5,'MC Speed'!A:A,0)))="","",INDEX('MC Speed'!P:P,MATCH(TD!$A$5,'MC Speed'!A:A,0)))</f>
        <v>#N/A</v>
      </c>
      <c r="E20" s="260" t="e">
        <f>IF((INDEX('EFF''CY'!P:P,MATCH(TD!$A$5,'EFF''CY'!A:A,0)))="","",INDEX('EFF''CY'!P:P,MATCH(TD!$A$5,'EFF''CY'!A:A,0)))</f>
        <v>#N/A</v>
      </c>
      <c r="F20" s="133" t="str">
        <f t="shared" si="3"/>
        <v/>
      </c>
      <c r="G20" s="269" t="str">
        <f t="shared" si="4"/>
        <v/>
      </c>
      <c r="H20" s="139"/>
      <c r="I20" s="189" t="s">
        <v>32</v>
      </c>
      <c r="J20" s="190"/>
      <c r="K20" s="140"/>
      <c r="L20" s="155" t="e">
        <f t="shared" si="5"/>
        <v>#DIV/0!</v>
      </c>
      <c r="M20" s="184" t="e">
        <f t="shared" ref="M20:M32" si="9">1/E7</f>
        <v>#N/A</v>
      </c>
      <c r="N20" s="184" t="e">
        <f t="shared" ref="N20:N32" si="10">C7</f>
        <v>#N/A</v>
      </c>
      <c r="O20" s="191" t="e">
        <f t="shared" si="6"/>
        <v>#DIV/0!</v>
      </c>
      <c r="P20" s="153"/>
      <c r="Q20" s="155" t="e">
        <f t="shared" si="7"/>
        <v>#DIV/0!</v>
      </c>
      <c r="R20" s="158" t="e">
        <f>Q20/#REF!</f>
        <v>#DIV/0!</v>
      </c>
      <c r="S20" s="192"/>
      <c r="T20" s="155" t="e">
        <f t="shared" si="8"/>
        <v>#DIV/0!</v>
      </c>
      <c r="U20" s="155" t="e">
        <f t="shared" ref="U20:U32" si="11">T20*2.43</f>
        <v>#DIV/0!</v>
      </c>
      <c r="V20" s="193" t="e">
        <f t="shared" ref="V20:V32" si="12">T20*0</f>
        <v>#DIV/0!</v>
      </c>
    </row>
    <row r="21" spans="1:22" ht="17.149999999999999" customHeight="1" thickBot="1">
      <c r="A21" s="256" t="s">
        <v>153</v>
      </c>
      <c r="B21" s="257" t="e">
        <f t="shared" si="2"/>
        <v>#N/A</v>
      </c>
      <c r="C21" s="258" t="e">
        <f>IF((INDEX(Yield!Q:Q,MATCH(TD!$A$5,Yield!A:A,0)))="","",INDEX(Yield!Q:Q,MATCH(TD!$A$5,Yield!A:A,0)))</f>
        <v>#N/A</v>
      </c>
      <c r="D21" s="270" t="e">
        <f>IF((INDEX('MC Speed'!Q:Q,MATCH(TD!$A$5,'MC Speed'!A:A,0)))="","",INDEX('MC Speed'!Q:Q,MATCH(TD!$A$5,'MC Speed'!A:A,0)))</f>
        <v>#N/A</v>
      </c>
      <c r="E21" s="271" t="e">
        <f>IF((INDEX('EFF''CY'!Q:Q,MATCH(TD!$A$5,'EFF''CY'!A:A,0)))="","",INDEX('EFF''CY'!Q:Q,MATCH(TD!$A$5,'EFF''CY'!A:A,0)))</f>
        <v>#N/A</v>
      </c>
      <c r="F21" s="259" t="str">
        <f t="shared" si="3"/>
        <v/>
      </c>
      <c r="G21" s="272" t="str">
        <f t="shared" si="4"/>
        <v/>
      </c>
      <c r="H21" s="139" t="s">
        <v>139</v>
      </c>
      <c r="I21" s="189" t="s">
        <v>142</v>
      </c>
      <c r="J21" s="190"/>
      <c r="K21" s="140"/>
      <c r="L21" s="155" t="e">
        <f t="shared" si="5"/>
        <v>#DIV/0!</v>
      </c>
      <c r="M21" s="184" t="e">
        <f t="shared" si="9"/>
        <v>#N/A</v>
      </c>
      <c r="N21" s="184" t="e">
        <f t="shared" si="10"/>
        <v>#N/A</v>
      </c>
      <c r="O21" s="191" t="e">
        <f t="shared" si="6"/>
        <v>#DIV/0!</v>
      </c>
      <c r="P21" s="153"/>
      <c r="Q21" s="155" t="e">
        <f t="shared" si="7"/>
        <v>#DIV/0!</v>
      </c>
      <c r="R21" s="158" t="e">
        <f>Q21/#REF!</f>
        <v>#DIV/0!</v>
      </c>
      <c r="S21" s="192"/>
      <c r="T21" s="155" t="e">
        <f t="shared" si="8"/>
        <v>#DIV/0!</v>
      </c>
      <c r="U21" s="155" t="e">
        <f t="shared" si="11"/>
        <v>#DIV/0!</v>
      </c>
      <c r="V21" s="193" t="e">
        <f t="shared" si="12"/>
        <v>#DIV/0!</v>
      </c>
    </row>
    <row r="22" spans="1:22" ht="17.5" thickBot="1">
      <c r="H22" s="139" t="s">
        <v>139</v>
      </c>
      <c r="I22" s="189" t="s">
        <v>42</v>
      </c>
      <c r="J22" s="190"/>
      <c r="K22" s="140"/>
      <c r="L22" s="155" t="e">
        <f t="shared" si="5"/>
        <v>#DIV/0!</v>
      </c>
      <c r="M22" s="184" t="e">
        <f t="shared" si="9"/>
        <v>#N/A</v>
      </c>
      <c r="N22" s="184" t="e">
        <f t="shared" si="10"/>
        <v>#N/A</v>
      </c>
      <c r="O22" s="191" t="e">
        <f t="shared" si="6"/>
        <v>#DIV/0!</v>
      </c>
      <c r="P22" s="153"/>
      <c r="Q22" s="155" t="e">
        <f t="shared" si="7"/>
        <v>#DIV/0!</v>
      </c>
      <c r="R22" s="158" t="e">
        <f>Q22/#REF!</f>
        <v>#DIV/0!</v>
      </c>
      <c r="S22" s="192"/>
      <c r="T22" s="155" t="e">
        <f t="shared" si="8"/>
        <v>#DIV/0!</v>
      </c>
      <c r="U22" s="155" t="e">
        <f t="shared" si="11"/>
        <v>#DIV/0!</v>
      </c>
      <c r="V22" s="193" t="e">
        <f t="shared" si="12"/>
        <v>#DIV/0!</v>
      </c>
    </row>
    <row r="23" spans="1:22" ht="17.5" thickBot="1">
      <c r="I23" s="194" t="s">
        <v>144</v>
      </c>
      <c r="J23" s="190"/>
      <c r="K23" s="140"/>
      <c r="L23" s="155" t="e">
        <f t="shared" si="5"/>
        <v>#DIV/0!</v>
      </c>
      <c r="M23" s="184" t="e">
        <f t="shared" si="9"/>
        <v>#N/A</v>
      </c>
      <c r="N23" s="184" t="e">
        <f t="shared" si="10"/>
        <v>#N/A</v>
      </c>
      <c r="O23" s="191" t="e">
        <f t="shared" si="6"/>
        <v>#DIV/0!</v>
      </c>
      <c r="P23" s="153"/>
      <c r="Q23" s="155" t="e">
        <f t="shared" si="7"/>
        <v>#DIV/0!</v>
      </c>
      <c r="R23" s="158" t="e">
        <f>Q23/#REF!</f>
        <v>#DIV/0!</v>
      </c>
      <c r="S23" s="192"/>
      <c r="T23" s="155" t="e">
        <f t="shared" si="8"/>
        <v>#DIV/0!</v>
      </c>
      <c r="U23" s="155" t="e">
        <f t="shared" si="11"/>
        <v>#DIV/0!</v>
      </c>
      <c r="V23" s="193" t="e">
        <f t="shared" si="12"/>
        <v>#DIV/0!</v>
      </c>
    </row>
    <row r="24" spans="1:22" ht="17.5" thickBot="1">
      <c r="B24" s="125"/>
      <c r="I24" s="189" t="s">
        <v>48</v>
      </c>
      <c r="J24" s="190"/>
      <c r="K24" s="140"/>
      <c r="L24" s="155" t="e">
        <f t="shared" si="5"/>
        <v>#DIV/0!</v>
      </c>
      <c r="M24" s="184" t="e">
        <f t="shared" si="9"/>
        <v>#N/A</v>
      </c>
      <c r="N24" s="184" t="e">
        <f t="shared" si="10"/>
        <v>#N/A</v>
      </c>
      <c r="O24" s="191" t="e">
        <f t="shared" si="6"/>
        <v>#DIV/0!</v>
      </c>
      <c r="P24" s="195"/>
      <c r="Q24" s="155" t="e">
        <f t="shared" si="7"/>
        <v>#DIV/0!</v>
      </c>
      <c r="R24" s="158" t="e">
        <f>Q24/#REF!</f>
        <v>#DIV/0!</v>
      </c>
      <c r="S24" s="192"/>
      <c r="T24" s="155" t="e">
        <f t="shared" si="8"/>
        <v>#DIV/0!</v>
      </c>
      <c r="U24" s="155" t="e">
        <f t="shared" si="11"/>
        <v>#DIV/0!</v>
      </c>
      <c r="V24" s="193" t="e">
        <f t="shared" si="12"/>
        <v>#DIV/0!</v>
      </c>
    </row>
    <row r="25" spans="1:22" ht="17.5" thickBot="1">
      <c r="I25" s="189" t="s">
        <v>146</v>
      </c>
      <c r="J25" s="190"/>
      <c r="K25" s="140"/>
      <c r="L25" s="155" t="e">
        <f t="shared" si="5"/>
        <v>#DIV/0!</v>
      </c>
      <c r="M25" s="184" t="e">
        <f t="shared" si="9"/>
        <v>#N/A</v>
      </c>
      <c r="N25" s="184" t="e">
        <f t="shared" si="10"/>
        <v>#N/A</v>
      </c>
      <c r="O25" s="191" t="e">
        <f t="shared" si="6"/>
        <v>#DIV/0!</v>
      </c>
      <c r="P25" s="153"/>
      <c r="Q25" s="155" t="e">
        <f t="shared" si="7"/>
        <v>#DIV/0!</v>
      </c>
      <c r="R25" s="158" t="e">
        <f>Q25/#REF!</f>
        <v>#DIV/0!</v>
      </c>
      <c r="S25" s="192"/>
      <c r="T25" s="155" t="e">
        <f t="shared" si="8"/>
        <v>#DIV/0!</v>
      </c>
      <c r="U25" s="155" t="e">
        <f t="shared" si="11"/>
        <v>#DIV/0!</v>
      </c>
      <c r="V25" s="193" t="e">
        <f t="shared" si="12"/>
        <v>#DIV/0!</v>
      </c>
    </row>
    <row r="26" spans="1:22" ht="17.5" thickBot="1">
      <c r="I26" s="194" t="s">
        <v>147</v>
      </c>
      <c r="J26" s="190"/>
      <c r="K26" s="140"/>
      <c r="L26" s="155" t="e">
        <f t="shared" si="5"/>
        <v>#DIV/0!</v>
      </c>
      <c r="M26" s="184" t="e">
        <f t="shared" si="9"/>
        <v>#N/A</v>
      </c>
      <c r="N26" s="184" t="e">
        <f t="shared" si="10"/>
        <v>#N/A</v>
      </c>
      <c r="O26" s="191" t="e">
        <f t="shared" si="6"/>
        <v>#DIV/0!</v>
      </c>
      <c r="P26" s="153"/>
      <c r="Q26" s="155" t="e">
        <f t="shared" si="7"/>
        <v>#DIV/0!</v>
      </c>
      <c r="R26" s="158" t="e">
        <f>Q26/#REF!</f>
        <v>#DIV/0!</v>
      </c>
      <c r="S26" s="192"/>
      <c r="T26" s="155" t="e">
        <f t="shared" si="8"/>
        <v>#DIV/0!</v>
      </c>
      <c r="U26" s="155" t="e">
        <f t="shared" si="11"/>
        <v>#DIV/0!</v>
      </c>
      <c r="V26" s="193" t="e">
        <f t="shared" si="12"/>
        <v>#DIV/0!</v>
      </c>
    </row>
    <row r="27" spans="1:22" ht="17.5" thickBot="1">
      <c r="I27" s="196" t="s">
        <v>148</v>
      </c>
      <c r="J27" s="190"/>
      <c r="K27" s="140"/>
      <c r="L27" s="155" t="e">
        <f t="shared" si="5"/>
        <v>#DIV/0!</v>
      </c>
      <c r="M27" s="184" t="e">
        <f t="shared" si="9"/>
        <v>#N/A</v>
      </c>
      <c r="N27" s="184" t="e">
        <f t="shared" si="10"/>
        <v>#N/A</v>
      </c>
      <c r="O27" s="191" t="e">
        <f t="shared" si="6"/>
        <v>#DIV/0!</v>
      </c>
      <c r="P27" s="153"/>
      <c r="Q27" s="155" t="e">
        <f t="shared" si="7"/>
        <v>#DIV/0!</v>
      </c>
      <c r="R27" s="158" t="e">
        <f>Q27/#REF!</f>
        <v>#DIV/0!</v>
      </c>
      <c r="S27" s="192"/>
      <c r="T27" s="155" t="e">
        <f t="shared" si="8"/>
        <v>#DIV/0!</v>
      </c>
      <c r="U27" s="155" t="e">
        <f t="shared" si="11"/>
        <v>#DIV/0!</v>
      </c>
      <c r="V27" s="193" t="e">
        <f t="shared" si="12"/>
        <v>#DIV/0!</v>
      </c>
    </row>
    <row r="28" spans="1:22" ht="17.5" thickBot="1">
      <c r="I28" s="196" t="s">
        <v>149</v>
      </c>
      <c r="J28" s="190"/>
      <c r="K28" s="140"/>
      <c r="L28" s="155" t="e">
        <f t="shared" si="5"/>
        <v>#DIV/0!</v>
      </c>
      <c r="M28" s="184" t="e">
        <f t="shared" si="9"/>
        <v>#N/A</v>
      </c>
      <c r="N28" s="184" t="e">
        <f t="shared" si="10"/>
        <v>#N/A</v>
      </c>
      <c r="O28" s="191" t="e">
        <f t="shared" si="6"/>
        <v>#DIV/0!</v>
      </c>
      <c r="P28" s="153"/>
      <c r="Q28" s="155" t="e">
        <f t="shared" si="7"/>
        <v>#DIV/0!</v>
      </c>
      <c r="R28" s="158" t="e">
        <f>Q28/#REF!</f>
        <v>#DIV/0!</v>
      </c>
      <c r="S28" s="192"/>
      <c r="T28" s="155" t="e">
        <f t="shared" si="8"/>
        <v>#DIV/0!</v>
      </c>
      <c r="U28" s="155" t="e">
        <f t="shared" si="11"/>
        <v>#DIV/0!</v>
      </c>
      <c r="V28" s="193" t="e">
        <f t="shared" si="12"/>
        <v>#DIV/0!</v>
      </c>
    </row>
    <row r="29" spans="1:22" ht="17.5" thickBot="1">
      <c r="I29" s="196" t="s">
        <v>150</v>
      </c>
      <c r="J29" s="190"/>
      <c r="K29" s="140"/>
      <c r="L29" s="155" t="e">
        <f t="shared" si="5"/>
        <v>#DIV/0!</v>
      </c>
      <c r="M29" s="184" t="e">
        <f t="shared" si="9"/>
        <v>#N/A</v>
      </c>
      <c r="N29" s="184" t="e">
        <f t="shared" si="10"/>
        <v>#N/A</v>
      </c>
      <c r="O29" s="191" t="e">
        <f t="shared" si="6"/>
        <v>#DIV/0!</v>
      </c>
      <c r="P29" s="153"/>
      <c r="Q29" s="155" t="e">
        <f t="shared" si="7"/>
        <v>#DIV/0!</v>
      </c>
      <c r="R29" s="158" t="e">
        <f>Q29/#REF!</f>
        <v>#DIV/0!</v>
      </c>
      <c r="S29" s="192"/>
      <c r="T29" s="155" t="e">
        <f t="shared" si="8"/>
        <v>#DIV/0!</v>
      </c>
      <c r="U29" s="155" t="e">
        <f t="shared" si="11"/>
        <v>#DIV/0!</v>
      </c>
      <c r="V29" s="193" t="e">
        <f t="shared" si="12"/>
        <v>#DIV/0!</v>
      </c>
    </row>
    <row r="30" spans="1:22" ht="17.5" thickBot="1">
      <c r="I30" s="196" t="s">
        <v>62</v>
      </c>
      <c r="J30" s="190"/>
      <c r="K30" s="140"/>
      <c r="L30" s="155" t="e">
        <f t="shared" si="5"/>
        <v>#DIV/0!</v>
      </c>
      <c r="M30" s="184" t="e">
        <f t="shared" si="9"/>
        <v>#N/A</v>
      </c>
      <c r="N30" s="184" t="e">
        <f t="shared" si="10"/>
        <v>#N/A</v>
      </c>
      <c r="O30" s="191" t="e">
        <f t="shared" si="6"/>
        <v>#DIV/0!</v>
      </c>
      <c r="P30" s="153"/>
      <c r="Q30" s="155" t="e">
        <f t="shared" si="7"/>
        <v>#DIV/0!</v>
      </c>
      <c r="R30" s="158" t="e">
        <f>Q30/#REF!</f>
        <v>#DIV/0!</v>
      </c>
      <c r="S30" s="192"/>
      <c r="T30" s="155" t="e">
        <f t="shared" si="8"/>
        <v>#DIV/0!</v>
      </c>
      <c r="U30" s="155" t="e">
        <f t="shared" si="11"/>
        <v>#DIV/0!</v>
      </c>
      <c r="V30" s="193" t="e">
        <f t="shared" si="12"/>
        <v>#DIV/0!</v>
      </c>
    </row>
    <row r="31" spans="1:22" ht="17.5" thickBot="1">
      <c r="I31" s="196" t="s">
        <v>68</v>
      </c>
      <c r="J31" s="190"/>
      <c r="K31" s="140"/>
      <c r="L31" s="155" t="e">
        <f t="shared" si="5"/>
        <v>#DIV/0!</v>
      </c>
      <c r="M31" s="184" t="e">
        <f t="shared" si="9"/>
        <v>#N/A</v>
      </c>
      <c r="N31" s="184" t="e">
        <f t="shared" si="10"/>
        <v>#N/A</v>
      </c>
      <c r="O31" s="191" t="e">
        <f t="shared" si="6"/>
        <v>#DIV/0!</v>
      </c>
      <c r="P31" s="153"/>
      <c r="Q31" s="155" t="e">
        <f t="shared" si="7"/>
        <v>#DIV/0!</v>
      </c>
      <c r="R31" s="158" t="e">
        <f>Q31/#REF!</f>
        <v>#DIV/0!</v>
      </c>
      <c r="S31" s="192"/>
      <c r="T31" s="155" t="e">
        <f t="shared" si="8"/>
        <v>#DIV/0!</v>
      </c>
      <c r="U31" s="155" t="e">
        <f t="shared" si="11"/>
        <v>#DIV/0!</v>
      </c>
      <c r="V31" s="193" t="e">
        <f t="shared" si="12"/>
        <v>#DIV/0!</v>
      </c>
    </row>
    <row r="32" spans="1:22" ht="17">
      <c r="I32" s="196" t="s">
        <v>64</v>
      </c>
      <c r="J32" s="190"/>
      <c r="K32" s="140"/>
      <c r="L32" s="155" t="e">
        <f t="shared" si="5"/>
        <v>#DIV/0!</v>
      </c>
      <c r="M32" s="184" t="e">
        <f t="shared" si="9"/>
        <v>#N/A</v>
      </c>
      <c r="N32" s="184" t="e">
        <f t="shared" si="10"/>
        <v>#N/A</v>
      </c>
      <c r="O32" s="191" t="e">
        <f t="shared" si="6"/>
        <v>#DIV/0!</v>
      </c>
      <c r="P32" s="153"/>
      <c r="Q32" s="155" t="e">
        <f t="shared" si="7"/>
        <v>#DIV/0!</v>
      </c>
      <c r="R32" s="158" t="e">
        <f>Q32/#REF!</f>
        <v>#DIV/0!</v>
      </c>
      <c r="S32" s="192"/>
      <c r="T32" s="155" t="e">
        <f t="shared" si="8"/>
        <v>#DIV/0!</v>
      </c>
      <c r="U32" s="152" t="e">
        <f t="shared" si="11"/>
        <v>#DIV/0!</v>
      </c>
      <c r="V32" s="193" t="e">
        <f t="shared" si="12"/>
        <v>#DIV/0!</v>
      </c>
    </row>
    <row r="33" spans="9:22" ht="15.5">
      <c r="I33" s="197" t="s">
        <v>154</v>
      </c>
      <c r="J33" s="198"/>
      <c r="K33" s="199" t="s">
        <v>154</v>
      </c>
      <c r="L33" s="200" t="s">
        <v>190</v>
      </c>
      <c r="M33" s="198"/>
      <c r="N33" s="200"/>
      <c r="O33" s="198"/>
      <c r="P33" s="198"/>
      <c r="Q33" s="201" t="e">
        <f>SUM(Q19:Q32)</f>
        <v>#DIV/0!</v>
      </c>
      <c r="R33" s="202" t="e">
        <f>SUM(R19:R32)</f>
        <v>#DIV/0!</v>
      </c>
      <c r="T33" s="119" t="s">
        <v>191</v>
      </c>
      <c r="U33" s="203" t="e">
        <f>SUM(U19:U32)</f>
        <v>#DIV/0!</v>
      </c>
      <c r="V33" s="203" t="e">
        <f>SUM(V19:V32)</f>
        <v>#DIV/0!</v>
      </c>
    </row>
    <row r="34" spans="9:22">
      <c r="I34" s="204" t="s">
        <v>192</v>
      </c>
      <c r="J34" s="205"/>
      <c r="K34" s="205"/>
      <c r="L34" s="205"/>
      <c r="M34" s="205"/>
      <c r="N34" s="205"/>
      <c r="O34" s="205"/>
      <c r="P34" s="205"/>
      <c r="Q34" s="206" t="e">
        <f>U33</f>
        <v>#DIV/0!</v>
      </c>
      <c r="R34" s="207" t="e">
        <f>Q34/#REF!</f>
        <v>#DIV/0!</v>
      </c>
    </row>
    <row r="35" spans="9:22">
      <c r="I35" s="204" t="s">
        <v>193</v>
      </c>
      <c r="J35" s="205"/>
      <c r="K35" s="205"/>
      <c r="L35" s="205"/>
      <c r="M35" s="205"/>
      <c r="N35" s="205"/>
      <c r="O35" s="205"/>
      <c r="P35" s="205"/>
      <c r="Q35" s="206" t="e">
        <f>V33</f>
        <v>#DIV/0!</v>
      </c>
      <c r="R35" s="207" t="e">
        <f>Q35/#REF!</f>
        <v>#DIV/0!</v>
      </c>
    </row>
    <row r="36" spans="9:22" ht="17">
      <c r="I36" s="208" t="s">
        <v>194</v>
      </c>
      <c r="J36" s="209"/>
      <c r="K36" s="209"/>
      <c r="L36" s="209"/>
      <c r="M36" s="209"/>
      <c r="N36" s="209"/>
      <c r="O36" s="209"/>
      <c r="P36" s="209"/>
      <c r="Q36" s="210">
        <v>3.48</v>
      </c>
      <c r="R36" s="207" t="e">
        <f>Q36/#REF!</f>
        <v>#REF!</v>
      </c>
      <c r="T36" s="119" t="s">
        <v>139</v>
      </c>
    </row>
    <row r="37" spans="9:22" ht="17">
      <c r="I37" s="211"/>
      <c r="J37" s="212"/>
      <c r="K37" s="212"/>
      <c r="L37" s="213" t="s">
        <v>195</v>
      </c>
      <c r="M37" s="212"/>
      <c r="N37" s="213"/>
      <c r="O37" s="212"/>
      <c r="P37" s="212"/>
      <c r="Q37" s="214">
        <v>10</v>
      </c>
      <c r="R37" s="215" t="e">
        <f>Q37/#REF!</f>
        <v>#REF!</v>
      </c>
      <c r="T37" s="119" t="s">
        <v>139</v>
      </c>
    </row>
    <row r="38" spans="9:22" ht="15.5" thickBot="1">
      <c r="I38" s="216" t="s">
        <v>196</v>
      </c>
      <c r="J38" s="170"/>
      <c r="K38" s="170"/>
      <c r="L38" s="170"/>
      <c r="M38" s="170"/>
      <c r="N38" s="170"/>
      <c r="O38" s="170"/>
      <c r="P38" s="217"/>
      <c r="Q38" s="218" t="e">
        <f>Q16+Q33+Q34+Q35+Q36+Q37</f>
        <v>#DIV/0!</v>
      </c>
      <c r="R38" s="219" t="e">
        <f>R16+R33+R34+R35+R36+R37</f>
        <v>#DIV/0!</v>
      </c>
      <c r="T38" s="119" t="s">
        <v>139</v>
      </c>
    </row>
  </sheetData>
  <mergeCells count="2">
    <mergeCell ref="A1:G3"/>
    <mergeCell ref="I1:V3"/>
  </mergeCells>
  <phoneticPr fontId="14" type="noConversion"/>
  <printOptions horizontalCentered="1" verticalCentered="1"/>
  <pageMargins left="0.75" right="0.75" top="1" bottom="1" header="0.5" footer="0.5"/>
  <pageSetup orientation="portrait" horizontalDpi="4294967293" verticalDpi="300" r:id="rId1"/>
  <headerFooter alignWithMargins="0">
    <oddFooter>&amp;F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7" tint="0.59999389629810485"/>
    <pageSetUpPr fitToPage="1"/>
  </sheetPr>
  <dimension ref="B1:O47"/>
  <sheetViews>
    <sheetView zoomScale="75" workbookViewId="0">
      <selection activeCell="F16" sqref="F16"/>
    </sheetView>
  </sheetViews>
  <sheetFormatPr defaultColWidth="8.81640625" defaultRowHeight="13"/>
  <cols>
    <col min="1" max="1" width="2.6328125" style="119" customWidth="1"/>
    <col min="2" max="2" width="25.453125" style="119" customWidth="1"/>
    <col min="3" max="3" width="7.26953125" style="119" customWidth="1"/>
    <col min="4" max="4" width="11.26953125" style="119" customWidth="1"/>
    <col min="5" max="5" width="12" style="119" customWidth="1"/>
    <col min="6" max="6" width="9.7265625" style="119" customWidth="1"/>
    <col min="7" max="7" width="11.1796875" style="119" customWidth="1"/>
    <col min="8" max="8" width="10.36328125" style="119" customWidth="1"/>
    <col min="9" max="9" width="10" style="119" customWidth="1"/>
    <col min="10" max="10" width="11.08984375" style="119" bestFit="1" customWidth="1"/>
    <col min="11" max="11" width="9.6328125" style="119" customWidth="1"/>
    <col min="12" max="256" width="8.81640625" style="119"/>
    <col min="257" max="257" width="2.6328125" style="119" customWidth="1"/>
    <col min="258" max="258" width="25.453125" style="119" customWidth="1"/>
    <col min="259" max="259" width="7.26953125" style="119" customWidth="1"/>
    <col min="260" max="260" width="11.26953125" style="119" customWidth="1"/>
    <col min="261" max="261" width="12" style="119" customWidth="1"/>
    <col min="262" max="262" width="9.7265625" style="119" customWidth="1"/>
    <col min="263" max="263" width="11.1796875" style="119" customWidth="1"/>
    <col min="264" max="264" width="10.36328125" style="119" customWidth="1"/>
    <col min="265" max="265" width="10" style="119" customWidth="1"/>
    <col min="266" max="266" width="11.08984375" style="119" bestFit="1" customWidth="1"/>
    <col min="267" max="267" width="9.6328125" style="119" customWidth="1"/>
    <col min="268" max="512" width="8.81640625" style="119"/>
    <col min="513" max="513" width="2.6328125" style="119" customWidth="1"/>
    <col min="514" max="514" width="25.453125" style="119" customWidth="1"/>
    <col min="515" max="515" width="7.26953125" style="119" customWidth="1"/>
    <col min="516" max="516" width="11.26953125" style="119" customWidth="1"/>
    <col min="517" max="517" width="12" style="119" customWidth="1"/>
    <col min="518" max="518" width="9.7265625" style="119" customWidth="1"/>
    <col min="519" max="519" width="11.1796875" style="119" customWidth="1"/>
    <col min="520" max="520" width="10.36328125" style="119" customWidth="1"/>
    <col min="521" max="521" width="10" style="119" customWidth="1"/>
    <col min="522" max="522" width="11.08984375" style="119" bestFit="1" customWidth="1"/>
    <col min="523" max="523" width="9.6328125" style="119" customWidth="1"/>
    <col min="524" max="768" width="8.81640625" style="119"/>
    <col min="769" max="769" width="2.6328125" style="119" customWidth="1"/>
    <col min="770" max="770" width="25.453125" style="119" customWidth="1"/>
    <col min="771" max="771" width="7.26953125" style="119" customWidth="1"/>
    <col min="772" max="772" width="11.26953125" style="119" customWidth="1"/>
    <col min="773" max="773" width="12" style="119" customWidth="1"/>
    <col min="774" max="774" width="9.7265625" style="119" customWidth="1"/>
    <col min="775" max="775" width="11.1796875" style="119" customWidth="1"/>
    <col min="776" max="776" width="10.36328125" style="119" customWidth="1"/>
    <col min="777" max="777" width="10" style="119" customWidth="1"/>
    <col min="778" max="778" width="11.08984375" style="119" bestFit="1" customWidth="1"/>
    <col min="779" max="779" width="9.6328125" style="119" customWidth="1"/>
    <col min="780" max="1024" width="8.81640625" style="119"/>
    <col min="1025" max="1025" width="2.6328125" style="119" customWidth="1"/>
    <col min="1026" max="1026" width="25.453125" style="119" customWidth="1"/>
    <col min="1027" max="1027" width="7.26953125" style="119" customWidth="1"/>
    <col min="1028" max="1028" width="11.26953125" style="119" customWidth="1"/>
    <col min="1029" max="1029" width="12" style="119" customWidth="1"/>
    <col min="1030" max="1030" width="9.7265625" style="119" customWidth="1"/>
    <col min="1031" max="1031" width="11.1796875" style="119" customWidth="1"/>
    <col min="1032" max="1032" width="10.36328125" style="119" customWidth="1"/>
    <col min="1033" max="1033" width="10" style="119" customWidth="1"/>
    <col min="1034" max="1034" width="11.08984375" style="119" bestFit="1" customWidth="1"/>
    <col min="1035" max="1035" width="9.6328125" style="119" customWidth="1"/>
    <col min="1036" max="1280" width="8.81640625" style="119"/>
    <col min="1281" max="1281" width="2.6328125" style="119" customWidth="1"/>
    <col min="1282" max="1282" width="25.453125" style="119" customWidth="1"/>
    <col min="1283" max="1283" width="7.26953125" style="119" customWidth="1"/>
    <col min="1284" max="1284" width="11.26953125" style="119" customWidth="1"/>
    <col min="1285" max="1285" width="12" style="119" customWidth="1"/>
    <col min="1286" max="1286" width="9.7265625" style="119" customWidth="1"/>
    <col min="1287" max="1287" width="11.1796875" style="119" customWidth="1"/>
    <col min="1288" max="1288" width="10.36328125" style="119" customWidth="1"/>
    <col min="1289" max="1289" width="10" style="119" customWidth="1"/>
    <col min="1290" max="1290" width="11.08984375" style="119" bestFit="1" customWidth="1"/>
    <col min="1291" max="1291" width="9.6328125" style="119" customWidth="1"/>
    <col min="1292" max="1536" width="8.81640625" style="119"/>
    <col min="1537" max="1537" width="2.6328125" style="119" customWidth="1"/>
    <col min="1538" max="1538" width="25.453125" style="119" customWidth="1"/>
    <col min="1539" max="1539" width="7.26953125" style="119" customWidth="1"/>
    <col min="1540" max="1540" width="11.26953125" style="119" customWidth="1"/>
    <col min="1541" max="1541" width="12" style="119" customWidth="1"/>
    <col min="1542" max="1542" width="9.7265625" style="119" customWidth="1"/>
    <col min="1543" max="1543" width="11.1796875" style="119" customWidth="1"/>
    <col min="1544" max="1544" width="10.36328125" style="119" customWidth="1"/>
    <col min="1545" max="1545" width="10" style="119" customWidth="1"/>
    <col min="1546" max="1546" width="11.08984375" style="119" bestFit="1" customWidth="1"/>
    <col min="1547" max="1547" width="9.6328125" style="119" customWidth="1"/>
    <col min="1548" max="1792" width="8.81640625" style="119"/>
    <col min="1793" max="1793" width="2.6328125" style="119" customWidth="1"/>
    <col min="1794" max="1794" width="25.453125" style="119" customWidth="1"/>
    <col min="1795" max="1795" width="7.26953125" style="119" customWidth="1"/>
    <col min="1796" max="1796" width="11.26953125" style="119" customWidth="1"/>
    <col min="1797" max="1797" width="12" style="119" customWidth="1"/>
    <col min="1798" max="1798" width="9.7265625" style="119" customWidth="1"/>
    <col min="1799" max="1799" width="11.1796875" style="119" customWidth="1"/>
    <col min="1800" max="1800" width="10.36328125" style="119" customWidth="1"/>
    <col min="1801" max="1801" width="10" style="119" customWidth="1"/>
    <col min="1802" max="1802" width="11.08984375" style="119" bestFit="1" customWidth="1"/>
    <col min="1803" max="1803" width="9.6328125" style="119" customWidth="1"/>
    <col min="1804" max="2048" width="8.81640625" style="119"/>
    <col min="2049" max="2049" width="2.6328125" style="119" customWidth="1"/>
    <col min="2050" max="2050" width="25.453125" style="119" customWidth="1"/>
    <col min="2051" max="2051" width="7.26953125" style="119" customWidth="1"/>
    <col min="2052" max="2052" width="11.26953125" style="119" customWidth="1"/>
    <col min="2053" max="2053" width="12" style="119" customWidth="1"/>
    <col min="2054" max="2054" width="9.7265625" style="119" customWidth="1"/>
    <col min="2055" max="2055" width="11.1796875" style="119" customWidth="1"/>
    <col min="2056" max="2056" width="10.36328125" style="119" customWidth="1"/>
    <col min="2057" max="2057" width="10" style="119" customWidth="1"/>
    <col min="2058" max="2058" width="11.08984375" style="119" bestFit="1" customWidth="1"/>
    <col min="2059" max="2059" width="9.6328125" style="119" customWidth="1"/>
    <col min="2060" max="2304" width="8.81640625" style="119"/>
    <col min="2305" max="2305" width="2.6328125" style="119" customWidth="1"/>
    <col min="2306" max="2306" width="25.453125" style="119" customWidth="1"/>
    <col min="2307" max="2307" width="7.26953125" style="119" customWidth="1"/>
    <col min="2308" max="2308" width="11.26953125" style="119" customWidth="1"/>
    <col min="2309" max="2309" width="12" style="119" customWidth="1"/>
    <col min="2310" max="2310" width="9.7265625" style="119" customWidth="1"/>
    <col min="2311" max="2311" width="11.1796875" style="119" customWidth="1"/>
    <col min="2312" max="2312" width="10.36328125" style="119" customWidth="1"/>
    <col min="2313" max="2313" width="10" style="119" customWidth="1"/>
    <col min="2314" max="2314" width="11.08984375" style="119" bestFit="1" customWidth="1"/>
    <col min="2315" max="2315" width="9.6328125" style="119" customWidth="1"/>
    <col min="2316" max="2560" width="8.81640625" style="119"/>
    <col min="2561" max="2561" width="2.6328125" style="119" customWidth="1"/>
    <col min="2562" max="2562" width="25.453125" style="119" customWidth="1"/>
    <col min="2563" max="2563" width="7.26953125" style="119" customWidth="1"/>
    <col min="2564" max="2564" width="11.26953125" style="119" customWidth="1"/>
    <col min="2565" max="2565" width="12" style="119" customWidth="1"/>
    <col min="2566" max="2566" width="9.7265625" style="119" customWidth="1"/>
    <col min="2567" max="2567" width="11.1796875" style="119" customWidth="1"/>
    <col min="2568" max="2568" width="10.36328125" style="119" customWidth="1"/>
    <col min="2569" max="2569" width="10" style="119" customWidth="1"/>
    <col min="2570" max="2570" width="11.08984375" style="119" bestFit="1" customWidth="1"/>
    <col min="2571" max="2571" width="9.6328125" style="119" customWidth="1"/>
    <col min="2572" max="2816" width="8.81640625" style="119"/>
    <col min="2817" max="2817" width="2.6328125" style="119" customWidth="1"/>
    <col min="2818" max="2818" width="25.453125" style="119" customWidth="1"/>
    <col min="2819" max="2819" width="7.26953125" style="119" customWidth="1"/>
    <col min="2820" max="2820" width="11.26953125" style="119" customWidth="1"/>
    <col min="2821" max="2821" width="12" style="119" customWidth="1"/>
    <col min="2822" max="2822" width="9.7265625" style="119" customWidth="1"/>
    <col min="2823" max="2823" width="11.1796875" style="119" customWidth="1"/>
    <col min="2824" max="2824" width="10.36328125" style="119" customWidth="1"/>
    <col min="2825" max="2825" width="10" style="119" customWidth="1"/>
    <col min="2826" max="2826" width="11.08984375" style="119" bestFit="1" customWidth="1"/>
    <col min="2827" max="2827" width="9.6328125" style="119" customWidth="1"/>
    <col min="2828" max="3072" width="8.81640625" style="119"/>
    <col min="3073" max="3073" width="2.6328125" style="119" customWidth="1"/>
    <col min="3074" max="3074" width="25.453125" style="119" customWidth="1"/>
    <col min="3075" max="3075" width="7.26953125" style="119" customWidth="1"/>
    <col min="3076" max="3076" width="11.26953125" style="119" customWidth="1"/>
    <col min="3077" max="3077" width="12" style="119" customWidth="1"/>
    <col min="3078" max="3078" width="9.7265625" style="119" customWidth="1"/>
    <col min="3079" max="3079" width="11.1796875" style="119" customWidth="1"/>
    <col min="3080" max="3080" width="10.36328125" style="119" customWidth="1"/>
    <col min="3081" max="3081" width="10" style="119" customWidth="1"/>
    <col min="3082" max="3082" width="11.08984375" style="119" bestFit="1" customWidth="1"/>
    <col min="3083" max="3083" width="9.6328125" style="119" customWidth="1"/>
    <col min="3084" max="3328" width="8.81640625" style="119"/>
    <col min="3329" max="3329" width="2.6328125" style="119" customWidth="1"/>
    <col min="3330" max="3330" width="25.453125" style="119" customWidth="1"/>
    <col min="3331" max="3331" width="7.26953125" style="119" customWidth="1"/>
    <col min="3332" max="3332" width="11.26953125" style="119" customWidth="1"/>
    <col min="3333" max="3333" width="12" style="119" customWidth="1"/>
    <col min="3334" max="3334" width="9.7265625" style="119" customWidth="1"/>
    <col min="3335" max="3335" width="11.1796875" style="119" customWidth="1"/>
    <col min="3336" max="3336" width="10.36328125" style="119" customWidth="1"/>
    <col min="3337" max="3337" width="10" style="119" customWidth="1"/>
    <col min="3338" max="3338" width="11.08984375" style="119" bestFit="1" customWidth="1"/>
    <col min="3339" max="3339" width="9.6328125" style="119" customWidth="1"/>
    <col min="3340" max="3584" width="8.81640625" style="119"/>
    <col min="3585" max="3585" width="2.6328125" style="119" customWidth="1"/>
    <col min="3586" max="3586" width="25.453125" style="119" customWidth="1"/>
    <col min="3587" max="3587" width="7.26953125" style="119" customWidth="1"/>
    <col min="3588" max="3588" width="11.26953125" style="119" customWidth="1"/>
    <col min="3589" max="3589" width="12" style="119" customWidth="1"/>
    <col min="3590" max="3590" width="9.7265625" style="119" customWidth="1"/>
    <col min="3591" max="3591" width="11.1796875" style="119" customWidth="1"/>
    <col min="3592" max="3592" width="10.36328125" style="119" customWidth="1"/>
    <col min="3593" max="3593" width="10" style="119" customWidth="1"/>
    <col min="3594" max="3594" width="11.08984375" style="119" bestFit="1" customWidth="1"/>
    <col min="3595" max="3595" width="9.6328125" style="119" customWidth="1"/>
    <col min="3596" max="3840" width="8.81640625" style="119"/>
    <col min="3841" max="3841" width="2.6328125" style="119" customWidth="1"/>
    <col min="3842" max="3842" width="25.453125" style="119" customWidth="1"/>
    <col min="3843" max="3843" width="7.26953125" style="119" customWidth="1"/>
    <col min="3844" max="3844" width="11.26953125" style="119" customWidth="1"/>
    <col min="3845" max="3845" width="12" style="119" customWidth="1"/>
    <col min="3846" max="3846" width="9.7265625" style="119" customWidth="1"/>
    <col min="3847" max="3847" width="11.1796875" style="119" customWidth="1"/>
    <col min="3848" max="3848" width="10.36328125" style="119" customWidth="1"/>
    <col min="3849" max="3849" width="10" style="119" customWidth="1"/>
    <col min="3850" max="3850" width="11.08984375" style="119" bestFit="1" customWidth="1"/>
    <col min="3851" max="3851" width="9.6328125" style="119" customWidth="1"/>
    <col min="3852" max="4096" width="8.81640625" style="119"/>
    <col min="4097" max="4097" width="2.6328125" style="119" customWidth="1"/>
    <col min="4098" max="4098" width="25.453125" style="119" customWidth="1"/>
    <col min="4099" max="4099" width="7.26953125" style="119" customWidth="1"/>
    <col min="4100" max="4100" width="11.26953125" style="119" customWidth="1"/>
    <col min="4101" max="4101" width="12" style="119" customWidth="1"/>
    <col min="4102" max="4102" width="9.7265625" style="119" customWidth="1"/>
    <col min="4103" max="4103" width="11.1796875" style="119" customWidth="1"/>
    <col min="4104" max="4104" width="10.36328125" style="119" customWidth="1"/>
    <col min="4105" max="4105" width="10" style="119" customWidth="1"/>
    <col min="4106" max="4106" width="11.08984375" style="119" bestFit="1" customWidth="1"/>
    <col min="4107" max="4107" width="9.6328125" style="119" customWidth="1"/>
    <col min="4108" max="4352" width="8.81640625" style="119"/>
    <col min="4353" max="4353" width="2.6328125" style="119" customWidth="1"/>
    <col min="4354" max="4354" width="25.453125" style="119" customWidth="1"/>
    <col min="4355" max="4355" width="7.26953125" style="119" customWidth="1"/>
    <col min="4356" max="4356" width="11.26953125" style="119" customWidth="1"/>
    <col min="4357" max="4357" width="12" style="119" customWidth="1"/>
    <col min="4358" max="4358" width="9.7265625" style="119" customWidth="1"/>
    <col min="4359" max="4359" width="11.1796875" style="119" customWidth="1"/>
    <col min="4360" max="4360" width="10.36328125" style="119" customWidth="1"/>
    <col min="4361" max="4361" width="10" style="119" customWidth="1"/>
    <col min="4362" max="4362" width="11.08984375" style="119" bestFit="1" customWidth="1"/>
    <col min="4363" max="4363" width="9.6328125" style="119" customWidth="1"/>
    <col min="4364" max="4608" width="8.81640625" style="119"/>
    <col min="4609" max="4609" width="2.6328125" style="119" customWidth="1"/>
    <col min="4610" max="4610" width="25.453125" style="119" customWidth="1"/>
    <col min="4611" max="4611" width="7.26953125" style="119" customWidth="1"/>
    <col min="4612" max="4612" width="11.26953125" style="119" customWidth="1"/>
    <col min="4613" max="4613" width="12" style="119" customWidth="1"/>
    <col min="4614" max="4614" width="9.7265625" style="119" customWidth="1"/>
    <col min="4615" max="4615" width="11.1796875" style="119" customWidth="1"/>
    <col min="4616" max="4616" width="10.36328125" style="119" customWidth="1"/>
    <col min="4617" max="4617" width="10" style="119" customWidth="1"/>
    <col min="4618" max="4618" width="11.08984375" style="119" bestFit="1" customWidth="1"/>
    <col min="4619" max="4619" width="9.6328125" style="119" customWidth="1"/>
    <col min="4620" max="4864" width="8.81640625" style="119"/>
    <col min="4865" max="4865" width="2.6328125" style="119" customWidth="1"/>
    <col min="4866" max="4866" width="25.453125" style="119" customWidth="1"/>
    <col min="4867" max="4867" width="7.26953125" style="119" customWidth="1"/>
    <col min="4868" max="4868" width="11.26953125" style="119" customWidth="1"/>
    <col min="4869" max="4869" width="12" style="119" customWidth="1"/>
    <col min="4870" max="4870" width="9.7265625" style="119" customWidth="1"/>
    <col min="4871" max="4871" width="11.1796875" style="119" customWidth="1"/>
    <col min="4872" max="4872" width="10.36328125" style="119" customWidth="1"/>
    <col min="4873" max="4873" width="10" style="119" customWidth="1"/>
    <col min="4874" max="4874" width="11.08984375" style="119" bestFit="1" customWidth="1"/>
    <col min="4875" max="4875" width="9.6328125" style="119" customWidth="1"/>
    <col min="4876" max="5120" width="8.81640625" style="119"/>
    <col min="5121" max="5121" width="2.6328125" style="119" customWidth="1"/>
    <col min="5122" max="5122" width="25.453125" style="119" customWidth="1"/>
    <col min="5123" max="5123" width="7.26953125" style="119" customWidth="1"/>
    <col min="5124" max="5124" width="11.26953125" style="119" customWidth="1"/>
    <col min="5125" max="5125" width="12" style="119" customWidth="1"/>
    <col min="5126" max="5126" width="9.7265625" style="119" customWidth="1"/>
    <col min="5127" max="5127" width="11.1796875" style="119" customWidth="1"/>
    <col min="5128" max="5128" width="10.36328125" style="119" customWidth="1"/>
    <col min="5129" max="5129" width="10" style="119" customWidth="1"/>
    <col min="5130" max="5130" width="11.08984375" style="119" bestFit="1" customWidth="1"/>
    <col min="5131" max="5131" width="9.6328125" style="119" customWidth="1"/>
    <col min="5132" max="5376" width="8.81640625" style="119"/>
    <col min="5377" max="5377" width="2.6328125" style="119" customWidth="1"/>
    <col min="5378" max="5378" width="25.453125" style="119" customWidth="1"/>
    <col min="5379" max="5379" width="7.26953125" style="119" customWidth="1"/>
    <col min="5380" max="5380" width="11.26953125" style="119" customWidth="1"/>
    <col min="5381" max="5381" width="12" style="119" customWidth="1"/>
    <col min="5382" max="5382" width="9.7265625" style="119" customWidth="1"/>
    <col min="5383" max="5383" width="11.1796875" style="119" customWidth="1"/>
    <col min="5384" max="5384" width="10.36328125" style="119" customWidth="1"/>
    <col min="5385" max="5385" width="10" style="119" customWidth="1"/>
    <col min="5386" max="5386" width="11.08984375" style="119" bestFit="1" customWidth="1"/>
    <col min="5387" max="5387" width="9.6328125" style="119" customWidth="1"/>
    <col min="5388" max="5632" width="8.81640625" style="119"/>
    <col min="5633" max="5633" width="2.6328125" style="119" customWidth="1"/>
    <col min="5634" max="5634" width="25.453125" style="119" customWidth="1"/>
    <col min="5635" max="5635" width="7.26953125" style="119" customWidth="1"/>
    <col min="5636" max="5636" width="11.26953125" style="119" customWidth="1"/>
    <col min="5637" max="5637" width="12" style="119" customWidth="1"/>
    <col min="5638" max="5638" width="9.7265625" style="119" customWidth="1"/>
    <col min="5639" max="5639" width="11.1796875" style="119" customWidth="1"/>
    <col min="5640" max="5640" width="10.36328125" style="119" customWidth="1"/>
    <col min="5641" max="5641" width="10" style="119" customWidth="1"/>
    <col min="5642" max="5642" width="11.08984375" style="119" bestFit="1" customWidth="1"/>
    <col min="5643" max="5643" width="9.6328125" style="119" customWidth="1"/>
    <col min="5644" max="5888" width="8.81640625" style="119"/>
    <col min="5889" max="5889" width="2.6328125" style="119" customWidth="1"/>
    <col min="5890" max="5890" width="25.453125" style="119" customWidth="1"/>
    <col min="5891" max="5891" width="7.26953125" style="119" customWidth="1"/>
    <col min="5892" max="5892" width="11.26953125" style="119" customWidth="1"/>
    <col min="5893" max="5893" width="12" style="119" customWidth="1"/>
    <col min="5894" max="5894" width="9.7265625" style="119" customWidth="1"/>
    <col min="5895" max="5895" width="11.1796875" style="119" customWidth="1"/>
    <col min="5896" max="5896" width="10.36328125" style="119" customWidth="1"/>
    <col min="5897" max="5897" width="10" style="119" customWidth="1"/>
    <col min="5898" max="5898" width="11.08984375" style="119" bestFit="1" customWidth="1"/>
    <col min="5899" max="5899" width="9.6328125" style="119" customWidth="1"/>
    <col min="5900" max="6144" width="8.81640625" style="119"/>
    <col min="6145" max="6145" width="2.6328125" style="119" customWidth="1"/>
    <col min="6146" max="6146" width="25.453125" style="119" customWidth="1"/>
    <col min="6147" max="6147" width="7.26953125" style="119" customWidth="1"/>
    <col min="6148" max="6148" width="11.26953125" style="119" customWidth="1"/>
    <col min="6149" max="6149" width="12" style="119" customWidth="1"/>
    <col min="6150" max="6150" width="9.7265625" style="119" customWidth="1"/>
    <col min="6151" max="6151" width="11.1796875" style="119" customWidth="1"/>
    <col min="6152" max="6152" width="10.36328125" style="119" customWidth="1"/>
    <col min="6153" max="6153" width="10" style="119" customWidth="1"/>
    <col min="6154" max="6154" width="11.08984375" style="119" bestFit="1" customWidth="1"/>
    <col min="6155" max="6155" width="9.6328125" style="119" customWidth="1"/>
    <col min="6156" max="6400" width="8.81640625" style="119"/>
    <col min="6401" max="6401" width="2.6328125" style="119" customWidth="1"/>
    <col min="6402" max="6402" width="25.453125" style="119" customWidth="1"/>
    <col min="6403" max="6403" width="7.26953125" style="119" customWidth="1"/>
    <col min="6404" max="6404" width="11.26953125" style="119" customWidth="1"/>
    <col min="6405" max="6405" width="12" style="119" customWidth="1"/>
    <col min="6406" max="6406" width="9.7265625" style="119" customWidth="1"/>
    <col min="6407" max="6407" width="11.1796875" style="119" customWidth="1"/>
    <col min="6408" max="6408" width="10.36328125" style="119" customWidth="1"/>
    <col min="6409" max="6409" width="10" style="119" customWidth="1"/>
    <col min="6410" max="6410" width="11.08984375" style="119" bestFit="1" customWidth="1"/>
    <col min="6411" max="6411" width="9.6328125" style="119" customWidth="1"/>
    <col min="6412" max="6656" width="8.81640625" style="119"/>
    <col min="6657" max="6657" width="2.6328125" style="119" customWidth="1"/>
    <col min="6658" max="6658" width="25.453125" style="119" customWidth="1"/>
    <col min="6659" max="6659" width="7.26953125" style="119" customWidth="1"/>
    <col min="6660" max="6660" width="11.26953125" style="119" customWidth="1"/>
    <col min="6661" max="6661" width="12" style="119" customWidth="1"/>
    <col min="6662" max="6662" width="9.7265625" style="119" customWidth="1"/>
    <col min="6663" max="6663" width="11.1796875" style="119" customWidth="1"/>
    <col min="6664" max="6664" width="10.36328125" style="119" customWidth="1"/>
    <col min="6665" max="6665" width="10" style="119" customWidth="1"/>
    <col min="6666" max="6666" width="11.08984375" style="119" bestFit="1" customWidth="1"/>
    <col min="6667" max="6667" width="9.6328125" style="119" customWidth="1"/>
    <col min="6668" max="6912" width="8.81640625" style="119"/>
    <col min="6913" max="6913" width="2.6328125" style="119" customWidth="1"/>
    <col min="6914" max="6914" width="25.453125" style="119" customWidth="1"/>
    <col min="6915" max="6915" width="7.26953125" style="119" customWidth="1"/>
    <col min="6916" max="6916" width="11.26953125" style="119" customWidth="1"/>
    <col min="6917" max="6917" width="12" style="119" customWidth="1"/>
    <col min="6918" max="6918" width="9.7265625" style="119" customWidth="1"/>
    <col min="6919" max="6919" width="11.1796875" style="119" customWidth="1"/>
    <col min="6920" max="6920" width="10.36328125" style="119" customWidth="1"/>
    <col min="6921" max="6921" width="10" style="119" customWidth="1"/>
    <col min="6922" max="6922" width="11.08984375" style="119" bestFit="1" customWidth="1"/>
    <col min="6923" max="6923" width="9.6328125" style="119" customWidth="1"/>
    <col min="6924" max="7168" width="8.81640625" style="119"/>
    <col min="7169" max="7169" width="2.6328125" style="119" customWidth="1"/>
    <col min="7170" max="7170" width="25.453125" style="119" customWidth="1"/>
    <col min="7171" max="7171" width="7.26953125" style="119" customWidth="1"/>
    <col min="7172" max="7172" width="11.26953125" style="119" customWidth="1"/>
    <col min="7173" max="7173" width="12" style="119" customWidth="1"/>
    <col min="7174" max="7174" width="9.7265625" style="119" customWidth="1"/>
    <col min="7175" max="7175" width="11.1796875" style="119" customWidth="1"/>
    <col min="7176" max="7176" width="10.36328125" style="119" customWidth="1"/>
    <col min="7177" max="7177" width="10" style="119" customWidth="1"/>
    <col min="7178" max="7178" width="11.08984375" style="119" bestFit="1" customWidth="1"/>
    <col min="7179" max="7179" width="9.6328125" style="119" customWidth="1"/>
    <col min="7180" max="7424" width="8.81640625" style="119"/>
    <col min="7425" max="7425" width="2.6328125" style="119" customWidth="1"/>
    <col min="7426" max="7426" width="25.453125" style="119" customWidth="1"/>
    <col min="7427" max="7427" width="7.26953125" style="119" customWidth="1"/>
    <col min="7428" max="7428" width="11.26953125" style="119" customWidth="1"/>
    <col min="7429" max="7429" width="12" style="119" customWidth="1"/>
    <col min="7430" max="7430" width="9.7265625" style="119" customWidth="1"/>
    <col min="7431" max="7431" width="11.1796875" style="119" customWidth="1"/>
    <col min="7432" max="7432" width="10.36328125" style="119" customWidth="1"/>
    <col min="7433" max="7433" width="10" style="119" customWidth="1"/>
    <col min="7434" max="7434" width="11.08984375" style="119" bestFit="1" customWidth="1"/>
    <col min="7435" max="7435" width="9.6328125" style="119" customWidth="1"/>
    <col min="7436" max="7680" width="8.81640625" style="119"/>
    <col min="7681" max="7681" width="2.6328125" style="119" customWidth="1"/>
    <col min="7682" max="7682" width="25.453125" style="119" customWidth="1"/>
    <col min="7683" max="7683" width="7.26953125" style="119" customWidth="1"/>
    <col min="7684" max="7684" width="11.26953125" style="119" customWidth="1"/>
    <col min="7685" max="7685" width="12" style="119" customWidth="1"/>
    <col min="7686" max="7686" width="9.7265625" style="119" customWidth="1"/>
    <col min="7687" max="7687" width="11.1796875" style="119" customWidth="1"/>
    <col min="7688" max="7688" width="10.36328125" style="119" customWidth="1"/>
    <col min="7689" max="7689" width="10" style="119" customWidth="1"/>
    <col min="7690" max="7690" width="11.08984375" style="119" bestFit="1" customWidth="1"/>
    <col min="7691" max="7691" width="9.6328125" style="119" customWidth="1"/>
    <col min="7692" max="7936" width="8.81640625" style="119"/>
    <col min="7937" max="7937" width="2.6328125" style="119" customWidth="1"/>
    <col min="7938" max="7938" width="25.453125" style="119" customWidth="1"/>
    <col min="7939" max="7939" width="7.26953125" style="119" customWidth="1"/>
    <col min="7940" max="7940" width="11.26953125" style="119" customWidth="1"/>
    <col min="7941" max="7941" width="12" style="119" customWidth="1"/>
    <col min="7942" max="7942" width="9.7265625" style="119" customWidth="1"/>
    <col min="7943" max="7943" width="11.1796875" style="119" customWidth="1"/>
    <col min="7944" max="7944" width="10.36328125" style="119" customWidth="1"/>
    <col min="7945" max="7945" width="10" style="119" customWidth="1"/>
    <col min="7946" max="7946" width="11.08984375" style="119" bestFit="1" customWidth="1"/>
    <col min="7947" max="7947" width="9.6328125" style="119" customWidth="1"/>
    <col min="7948" max="8192" width="8.81640625" style="119"/>
    <col min="8193" max="8193" width="2.6328125" style="119" customWidth="1"/>
    <col min="8194" max="8194" width="25.453125" style="119" customWidth="1"/>
    <col min="8195" max="8195" width="7.26953125" style="119" customWidth="1"/>
    <col min="8196" max="8196" width="11.26953125" style="119" customWidth="1"/>
    <col min="8197" max="8197" width="12" style="119" customWidth="1"/>
    <col min="8198" max="8198" width="9.7265625" style="119" customWidth="1"/>
    <col min="8199" max="8199" width="11.1796875" style="119" customWidth="1"/>
    <col min="8200" max="8200" width="10.36328125" style="119" customWidth="1"/>
    <col min="8201" max="8201" width="10" style="119" customWidth="1"/>
    <col min="8202" max="8202" width="11.08984375" style="119" bestFit="1" customWidth="1"/>
    <col min="8203" max="8203" width="9.6328125" style="119" customWidth="1"/>
    <col min="8204" max="8448" width="8.81640625" style="119"/>
    <col min="8449" max="8449" width="2.6328125" style="119" customWidth="1"/>
    <col min="8450" max="8450" width="25.453125" style="119" customWidth="1"/>
    <col min="8451" max="8451" width="7.26953125" style="119" customWidth="1"/>
    <col min="8452" max="8452" width="11.26953125" style="119" customWidth="1"/>
    <col min="8453" max="8453" width="12" style="119" customWidth="1"/>
    <col min="8454" max="8454" width="9.7265625" style="119" customWidth="1"/>
    <col min="8455" max="8455" width="11.1796875" style="119" customWidth="1"/>
    <col min="8456" max="8456" width="10.36328125" style="119" customWidth="1"/>
    <col min="8457" max="8457" width="10" style="119" customWidth="1"/>
    <col min="8458" max="8458" width="11.08984375" style="119" bestFit="1" customWidth="1"/>
    <col min="8459" max="8459" width="9.6328125" style="119" customWidth="1"/>
    <col min="8460" max="8704" width="8.81640625" style="119"/>
    <col min="8705" max="8705" width="2.6328125" style="119" customWidth="1"/>
    <col min="8706" max="8706" width="25.453125" style="119" customWidth="1"/>
    <col min="8707" max="8707" width="7.26953125" style="119" customWidth="1"/>
    <col min="8708" max="8708" width="11.26953125" style="119" customWidth="1"/>
    <col min="8709" max="8709" width="12" style="119" customWidth="1"/>
    <col min="8710" max="8710" width="9.7265625" style="119" customWidth="1"/>
    <col min="8711" max="8711" width="11.1796875" style="119" customWidth="1"/>
    <col min="8712" max="8712" width="10.36328125" style="119" customWidth="1"/>
    <col min="8713" max="8713" width="10" style="119" customWidth="1"/>
    <col min="8714" max="8714" width="11.08984375" style="119" bestFit="1" customWidth="1"/>
    <col min="8715" max="8715" width="9.6328125" style="119" customWidth="1"/>
    <col min="8716" max="8960" width="8.81640625" style="119"/>
    <col min="8961" max="8961" width="2.6328125" style="119" customWidth="1"/>
    <col min="8962" max="8962" width="25.453125" style="119" customWidth="1"/>
    <col min="8963" max="8963" width="7.26953125" style="119" customWidth="1"/>
    <col min="8964" max="8964" width="11.26953125" style="119" customWidth="1"/>
    <col min="8965" max="8965" width="12" style="119" customWidth="1"/>
    <col min="8966" max="8966" width="9.7265625" style="119" customWidth="1"/>
    <col min="8967" max="8967" width="11.1796875" style="119" customWidth="1"/>
    <col min="8968" max="8968" width="10.36328125" style="119" customWidth="1"/>
    <col min="8969" max="8969" width="10" style="119" customWidth="1"/>
    <col min="8970" max="8970" width="11.08984375" style="119" bestFit="1" customWidth="1"/>
    <col min="8971" max="8971" width="9.6328125" style="119" customWidth="1"/>
    <col min="8972" max="9216" width="8.81640625" style="119"/>
    <col min="9217" max="9217" width="2.6328125" style="119" customWidth="1"/>
    <col min="9218" max="9218" width="25.453125" style="119" customWidth="1"/>
    <col min="9219" max="9219" width="7.26953125" style="119" customWidth="1"/>
    <col min="9220" max="9220" width="11.26953125" style="119" customWidth="1"/>
    <col min="9221" max="9221" width="12" style="119" customWidth="1"/>
    <col min="9222" max="9222" width="9.7265625" style="119" customWidth="1"/>
    <col min="9223" max="9223" width="11.1796875" style="119" customWidth="1"/>
    <col min="9224" max="9224" width="10.36328125" style="119" customWidth="1"/>
    <col min="9225" max="9225" width="10" style="119" customWidth="1"/>
    <col min="9226" max="9226" width="11.08984375" style="119" bestFit="1" customWidth="1"/>
    <col min="9227" max="9227" width="9.6328125" style="119" customWidth="1"/>
    <col min="9228" max="9472" width="8.81640625" style="119"/>
    <col min="9473" max="9473" width="2.6328125" style="119" customWidth="1"/>
    <col min="9474" max="9474" width="25.453125" style="119" customWidth="1"/>
    <col min="9475" max="9475" width="7.26953125" style="119" customWidth="1"/>
    <col min="9476" max="9476" width="11.26953125" style="119" customWidth="1"/>
    <col min="9477" max="9477" width="12" style="119" customWidth="1"/>
    <col min="9478" max="9478" width="9.7265625" style="119" customWidth="1"/>
    <col min="9479" max="9479" width="11.1796875" style="119" customWidth="1"/>
    <col min="9480" max="9480" width="10.36328125" style="119" customWidth="1"/>
    <col min="9481" max="9481" width="10" style="119" customWidth="1"/>
    <col min="9482" max="9482" width="11.08984375" style="119" bestFit="1" customWidth="1"/>
    <col min="9483" max="9483" width="9.6328125" style="119" customWidth="1"/>
    <col min="9484" max="9728" width="8.81640625" style="119"/>
    <col min="9729" max="9729" width="2.6328125" style="119" customWidth="1"/>
    <col min="9730" max="9730" width="25.453125" style="119" customWidth="1"/>
    <col min="9731" max="9731" width="7.26953125" style="119" customWidth="1"/>
    <col min="9732" max="9732" width="11.26953125" style="119" customWidth="1"/>
    <col min="9733" max="9733" width="12" style="119" customWidth="1"/>
    <col min="9734" max="9734" width="9.7265625" style="119" customWidth="1"/>
    <col min="9735" max="9735" width="11.1796875" style="119" customWidth="1"/>
    <col min="9736" max="9736" width="10.36328125" style="119" customWidth="1"/>
    <col min="9737" max="9737" width="10" style="119" customWidth="1"/>
    <col min="9738" max="9738" width="11.08984375" style="119" bestFit="1" customWidth="1"/>
    <col min="9739" max="9739" width="9.6328125" style="119" customWidth="1"/>
    <col min="9740" max="9984" width="8.81640625" style="119"/>
    <col min="9985" max="9985" width="2.6328125" style="119" customWidth="1"/>
    <col min="9986" max="9986" width="25.453125" style="119" customWidth="1"/>
    <col min="9987" max="9987" width="7.26953125" style="119" customWidth="1"/>
    <col min="9988" max="9988" width="11.26953125" style="119" customWidth="1"/>
    <col min="9989" max="9989" width="12" style="119" customWidth="1"/>
    <col min="9990" max="9990" width="9.7265625" style="119" customWidth="1"/>
    <col min="9991" max="9991" width="11.1796875" style="119" customWidth="1"/>
    <col min="9992" max="9992" width="10.36328125" style="119" customWidth="1"/>
    <col min="9993" max="9993" width="10" style="119" customWidth="1"/>
    <col min="9994" max="9994" width="11.08984375" style="119" bestFit="1" customWidth="1"/>
    <col min="9995" max="9995" width="9.6328125" style="119" customWidth="1"/>
    <col min="9996" max="10240" width="8.81640625" style="119"/>
    <col min="10241" max="10241" width="2.6328125" style="119" customWidth="1"/>
    <col min="10242" max="10242" width="25.453125" style="119" customWidth="1"/>
    <col min="10243" max="10243" width="7.26953125" style="119" customWidth="1"/>
    <col min="10244" max="10244" width="11.26953125" style="119" customWidth="1"/>
    <col min="10245" max="10245" width="12" style="119" customWidth="1"/>
    <col min="10246" max="10246" width="9.7265625" style="119" customWidth="1"/>
    <col min="10247" max="10247" width="11.1796875" style="119" customWidth="1"/>
    <col min="10248" max="10248" width="10.36328125" style="119" customWidth="1"/>
    <col min="10249" max="10249" width="10" style="119" customWidth="1"/>
    <col min="10250" max="10250" width="11.08984375" style="119" bestFit="1" customWidth="1"/>
    <col min="10251" max="10251" width="9.6328125" style="119" customWidth="1"/>
    <col min="10252" max="10496" width="8.81640625" style="119"/>
    <col min="10497" max="10497" width="2.6328125" style="119" customWidth="1"/>
    <col min="10498" max="10498" width="25.453125" style="119" customWidth="1"/>
    <col min="10499" max="10499" width="7.26953125" style="119" customWidth="1"/>
    <col min="10500" max="10500" width="11.26953125" style="119" customWidth="1"/>
    <col min="10501" max="10501" width="12" style="119" customWidth="1"/>
    <col min="10502" max="10502" width="9.7265625" style="119" customWidth="1"/>
    <col min="10503" max="10503" width="11.1796875" style="119" customWidth="1"/>
    <col min="10504" max="10504" width="10.36328125" style="119" customWidth="1"/>
    <col min="10505" max="10505" width="10" style="119" customWidth="1"/>
    <col min="10506" max="10506" width="11.08984375" style="119" bestFit="1" customWidth="1"/>
    <col min="10507" max="10507" width="9.6328125" style="119" customWidth="1"/>
    <col min="10508" max="10752" width="8.81640625" style="119"/>
    <col min="10753" max="10753" width="2.6328125" style="119" customWidth="1"/>
    <col min="10754" max="10754" width="25.453125" style="119" customWidth="1"/>
    <col min="10755" max="10755" width="7.26953125" style="119" customWidth="1"/>
    <col min="10756" max="10756" width="11.26953125" style="119" customWidth="1"/>
    <col min="10757" max="10757" width="12" style="119" customWidth="1"/>
    <col min="10758" max="10758" width="9.7265625" style="119" customWidth="1"/>
    <col min="10759" max="10759" width="11.1796875" style="119" customWidth="1"/>
    <col min="10760" max="10760" width="10.36328125" style="119" customWidth="1"/>
    <col min="10761" max="10761" width="10" style="119" customWidth="1"/>
    <col min="10762" max="10762" width="11.08984375" style="119" bestFit="1" customWidth="1"/>
    <col min="10763" max="10763" width="9.6328125" style="119" customWidth="1"/>
    <col min="10764" max="11008" width="8.81640625" style="119"/>
    <col min="11009" max="11009" width="2.6328125" style="119" customWidth="1"/>
    <col min="11010" max="11010" width="25.453125" style="119" customWidth="1"/>
    <col min="11011" max="11011" width="7.26953125" style="119" customWidth="1"/>
    <col min="11012" max="11012" width="11.26953125" style="119" customWidth="1"/>
    <col min="11013" max="11013" width="12" style="119" customWidth="1"/>
    <col min="11014" max="11014" width="9.7265625" style="119" customWidth="1"/>
    <col min="11015" max="11015" width="11.1796875" style="119" customWidth="1"/>
    <col min="11016" max="11016" width="10.36328125" style="119" customWidth="1"/>
    <col min="11017" max="11017" width="10" style="119" customWidth="1"/>
    <col min="11018" max="11018" width="11.08984375" style="119" bestFit="1" customWidth="1"/>
    <col min="11019" max="11019" width="9.6328125" style="119" customWidth="1"/>
    <col min="11020" max="11264" width="8.81640625" style="119"/>
    <col min="11265" max="11265" width="2.6328125" style="119" customWidth="1"/>
    <col min="11266" max="11266" width="25.453125" style="119" customWidth="1"/>
    <col min="11267" max="11267" width="7.26953125" style="119" customWidth="1"/>
    <col min="11268" max="11268" width="11.26953125" style="119" customWidth="1"/>
    <col min="11269" max="11269" width="12" style="119" customWidth="1"/>
    <col min="11270" max="11270" width="9.7265625" style="119" customWidth="1"/>
    <col min="11271" max="11271" width="11.1796875" style="119" customWidth="1"/>
    <col min="11272" max="11272" width="10.36328125" style="119" customWidth="1"/>
    <col min="11273" max="11273" width="10" style="119" customWidth="1"/>
    <col min="11274" max="11274" width="11.08984375" style="119" bestFit="1" customWidth="1"/>
    <col min="11275" max="11275" width="9.6328125" style="119" customWidth="1"/>
    <col min="11276" max="11520" width="8.81640625" style="119"/>
    <col min="11521" max="11521" width="2.6328125" style="119" customWidth="1"/>
    <col min="11522" max="11522" width="25.453125" style="119" customWidth="1"/>
    <col min="11523" max="11523" width="7.26953125" style="119" customWidth="1"/>
    <col min="11524" max="11524" width="11.26953125" style="119" customWidth="1"/>
    <col min="11525" max="11525" width="12" style="119" customWidth="1"/>
    <col min="11526" max="11526" width="9.7265625" style="119" customWidth="1"/>
    <col min="11527" max="11527" width="11.1796875" style="119" customWidth="1"/>
    <col min="11528" max="11528" width="10.36328125" style="119" customWidth="1"/>
    <col min="11529" max="11529" width="10" style="119" customWidth="1"/>
    <col min="11530" max="11530" width="11.08984375" style="119" bestFit="1" customWidth="1"/>
    <col min="11531" max="11531" width="9.6328125" style="119" customWidth="1"/>
    <col min="11532" max="11776" width="8.81640625" style="119"/>
    <col min="11777" max="11777" width="2.6328125" style="119" customWidth="1"/>
    <col min="11778" max="11778" width="25.453125" style="119" customWidth="1"/>
    <col min="11779" max="11779" width="7.26953125" style="119" customWidth="1"/>
    <col min="11780" max="11780" width="11.26953125" style="119" customWidth="1"/>
    <col min="11781" max="11781" width="12" style="119" customWidth="1"/>
    <col min="11782" max="11782" width="9.7265625" style="119" customWidth="1"/>
    <col min="11783" max="11783" width="11.1796875" style="119" customWidth="1"/>
    <col min="11784" max="11784" width="10.36328125" style="119" customWidth="1"/>
    <col min="11785" max="11785" width="10" style="119" customWidth="1"/>
    <col min="11786" max="11786" width="11.08984375" style="119" bestFit="1" customWidth="1"/>
    <col min="11787" max="11787" width="9.6328125" style="119" customWidth="1"/>
    <col min="11788" max="12032" width="8.81640625" style="119"/>
    <col min="12033" max="12033" width="2.6328125" style="119" customWidth="1"/>
    <col min="12034" max="12034" width="25.453125" style="119" customWidth="1"/>
    <col min="12035" max="12035" width="7.26953125" style="119" customWidth="1"/>
    <col min="12036" max="12036" width="11.26953125" style="119" customWidth="1"/>
    <col min="12037" max="12037" width="12" style="119" customWidth="1"/>
    <col min="12038" max="12038" width="9.7265625" style="119" customWidth="1"/>
    <col min="12039" max="12039" width="11.1796875" style="119" customWidth="1"/>
    <col min="12040" max="12040" width="10.36328125" style="119" customWidth="1"/>
    <col min="12041" max="12041" width="10" style="119" customWidth="1"/>
    <col min="12042" max="12042" width="11.08984375" style="119" bestFit="1" customWidth="1"/>
    <col min="12043" max="12043" width="9.6328125" style="119" customWidth="1"/>
    <col min="12044" max="12288" width="8.81640625" style="119"/>
    <col min="12289" max="12289" width="2.6328125" style="119" customWidth="1"/>
    <col min="12290" max="12290" width="25.453125" style="119" customWidth="1"/>
    <col min="12291" max="12291" width="7.26953125" style="119" customWidth="1"/>
    <col min="12292" max="12292" width="11.26953125" style="119" customWidth="1"/>
    <col min="12293" max="12293" width="12" style="119" customWidth="1"/>
    <col min="12294" max="12294" width="9.7265625" style="119" customWidth="1"/>
    <col min="12295" max="12295" width="11.1796875" style="119" customWidth="1"/>
    <col min="12296" max="12296" width="10.36328125" style="119" customWidth="1"/>
    <col min="12297" max="12297" width="10" style="119" customWidth="1"/>
    <col min="12298" max="12298" width="11.08984375" style="119" bestFit="1" customWidth="1"/>
    <col min="12299" max="12299" width="9.6328125" style="119" customWidth="1"/>
    <col min="12300" max="12544" width="8.81640625" style="119"/>
    <col min="12545" max="12545" width="2.6328125" style="119" customWidth="1"/>
    <col min="12546" max="12546" width="25.453125" style="119" customWidth="1"/>
    <col min="12547" max="12547" width="7.26953125" style="119" customWidth="1"/>
    <col min="12548" max="12548" width="11.26953125" style="119" customWidth="1"/>
    <col min="12549" max="12549" width="12" style="119" customWidth="1"/>
    <col min="12550" max="12550" width="9.7265625" style="119" customWidth="1"/>
    <col min="12551" max="12551" width="11.1796875" style="119" customWidth="1"/>
    <col min="12552" max="12552" width="10.36328125" style="119" customWidth="1"/>
    <col min="12553" max="12553" width="10" style="119" customWidth="1"/>
    <col min="12554" max="12554" width="11.08984375" style="119" bestFit="1" customWidth="1"/>
    <col min="12555" max="12555" width="9.6328125" style="119" customWidth="1"/>
    <col min="12556" max="12800" width="8.81640625" style="119"/>
    <col min="12801" max="12801" width="2.6328125" style="119" customWidth="1"/>
    <col min="12802" max="12802" width="25.453125" style="119" customWidth="1"/>
    <col min="12803" max="12803" width="7.26953125" style="119" customWidth="1"/>
    <col min="12804" max="12804" width="11.26953125" style="119" customWidth="1"/>
    <col min="12805" max="12805" width="12" style="119" customWidth="1"/>
    <col min="12806" max="12806" width="9.7265625" style="119" customWidth="1"/>
    <col min="12807" max="12807" width="11.1796875" style="119" customWidth="1"/>
    <col min="12808" max="12808" width="10.36328125" style="119" customWidth="1"/>
    <col min="12809" max="12809" width="10" style="119" customWidth="1"/>
    <col min="12810" max="12810" width="11.08984375" style="119" bestFit="1" customWidth="1"/>
    <col min="12811" max="12811" width="9.6328125" style="119" customWidth="1"/>
    <col min="12812" max="13056" width="8.81640625" style="119"/>
    <col min="13057" max="13057" width="2.6328125" style="119" customWidth="1"/>
    <col min="13058" max="13058" width="25.453125" style="119" customWidth="1"/>
    <col min="13059" max="13059" width="7.26953125" style="119" customWidth="1"/>
    <col min="13060" max="13060" width="11.26953125" style="119" customWidth="1"/>
    <col min="13061" max="13061" width="12" style="119" customWidth="1"/>
    <col min="13062" max="13062" width="9.7265625" style="119" customWidth="1"/>
    <col min="13063" max="13063" width="11.1796875" style="119" customWidth="1"/>
    <col min="13064" max="13064" width="10.36328125" style="119" customWidth="1"/>
    <col min="13065" max="13065" width="10" style="119" customWidth="1"/>
    <col min="13066" max="13066" width="11.08984375" style="119" bestFit="1" customWidth="1"/>
    <col min="13067" max="13067" width="9.6328125" style="119" customWidth="1"/>
    <col min="13068" max="13312" width="8.81640625" style="119"/>
    <col min="13313" max="13313" width="2.6328125" style="119" customWidth="1"/>
    <col min="13314" max="13314" width="25.453125" style="119" customWidth="1"/>
    <col min="13315" max="13315" width="7.26953125" style="119" customWidth="1"/>
    <col min="13316" max="13316" width="11.26953125" style="119" customWidth="1"/>
    <col min="13317" max="13317" width="12" style="119" customWidth="1"/>
    <col min="13318" max="13318" width="9.7265625" style="119" customWidth="1"/>
    <col min="13319" max="13319" width="11.1796875" style="119" customWidth="1"/>
    <col min="13320" max="13320" width="10.36328125" style="119" customWidth="1"/>
    <col min="13321" max="13321" width="10" style="119" customWidth="1"/>
    <col min="13322" max="13322" width="11.08984375" style="119" bestFit="1" customWidth="1"/>
    <col min="13323" max="13323" width="9.6328125" style="119" customWidth="1"/>
    <col min="13324" max="13568" width="8.81640625" style="119"/>
    <col min="13569" max="13569" width="2.6328125" style="119" customWidth="1"/>
    <col min="13570" max="13570" width="25.453125" style="119" customWidth="1"/>
    <col min="13571" max="13571" width="7.26953125" style="119" customWidth="1"/>
    <col min="13572" max="13572" width="11.26953125" style="119" customWidth="1"/>
    <col min="13573" max="13573" width="12" style="119" customWidth="1"/>
    <col min="13574" max="13574" width="9.7265625" style="119" customWidth="1"/>
    <col min="13575" max="13575" width="11.1796875" style="119" customWidth="1"/>
    <col min="13576" max="13576" width="10.36328125" style="119" customWidth="1"/>
    <col min="13577" max="13577" width="10" style="119" customWidth="1"/>
    <col min="13578" max="13578" width="11.08984375" style="119" bestFit="1" customWidth="1"/>
    <col min="13579" max="13579" width="9.6328125" style="119" customWidth="1"/>
    <col min="13580" max="13824" width="8.81640625" style="119"/>
    <col min="13825" max="13825" width="2.6328125" style="119" customWidth="1"/>
    <col min="13826" max="13826" width="25.453125" style="119" customWidth="1"/>
    <col min="13827" max="13827" width="7.26953125" style="119" customWidth="1"/>
    <col min="13828" max="13828" width="11.26953125" style="119" customWidth="1"/>
    <col min="13829" max="13829" width="12" style="119" customWidth="1"/>
    <col min="13830" max="13830" width="9.7265625" style="119" customWidth="1"/>
    <col min="13831" max="13831" width="11.1796875" style="119" customWidth="1"/>
    <col min="13832" max="13832" width="10.36328125" style="119" customWidth="1"/>
    <col min="13833" max="13833" width="10" style="119" customWidth="1"/>
    <col min="13834" max="13834" width="11.08984375" style="119" bestFit="1" customWidth="1"/>
    <col min="13835" max="13835" width="9.6328125" style="119" customWidth="1"/>
    <col min="13836" max="14080" width="8.81640625" style="119"/>
    <col min="14081" max="14081" width="2.6328125" style="119" customWidth="1"/>
    <col min="14082" max="14082" width="25.453125" style="119" customWidth="1"/>
    <col min="14083" max="14083" width="7.26953125" style="119" customWidth="1"/>
    <col min="14084" max="14084" width="11.26953125" style="119" customWidth="1"/>
    <col min="14085" max="14085" width="12" style="119" customWidth="1"/>
    <col min="14086" max="14086" width="9.7265625" style="119" customWidth="1"/>
    <col min="14087" max="14087" width="11.1796875" style="119" customWidth="1"/>
    <col min="14088" max="14088" width="10.36328125" style="119" customWidth="1"/>
    <col min="14089" max="14089" width="10" style="119" customWidth="1"/>
    <col min="14090" max="14090" width="11.08984375" style="119" bestFit="1" customWidth="1"/>
    <col min="14091" max="14091" width="9.6328125" style="119" customWidth="1"/>
    <col min="14092" max="14336" width="8.81640625" style="119"/>
    <col min="14337" max="14337" width="2.6328125" style="119" customWidth="1"/>
    <col min="14338" max="14338" width="25.453125" style="119" customWidth="1"/>
    <col min="14339" max="14339" width="7.26953125" style="119" customWidth="1"/>
    <col min="14340" max="14340" width="11.26953125" style="119" customWidth="1"/>
    <col min="14341" max="14341" width="12" style="119" customWidth="1"/>
    <col min="14342" max="14342" width="9.7265625" style="119" customWidth="1"/>
    <col min="14343" max="14343" width="11.1796875" style="119" customWidth="1"/>
    <col min="14344" max="14344" width="10.36328125" style="119" customWidth="1"/>
    <col min="14345" max="14345" width="10" style="119" customWidth="1"/>
    <col min="14346" max="14346" width="11.08984375" style="119" bestFit="1" customWidth="1"/>
    <col min="14347" max="14347" width="9.6328125" style="119" customWidth="1"/>
    <col min="14348" max="14592" width="8.81640625" style="119"/>
    <col min="14593" max="14593" width="2.6328125" style="119" customWidth="1"/>
    <col min="14594" max="14594" width="25.453125" style="119" customWidth="1"/>
    <col min="14595" max="14595" width="7.26953125" style="119" customWidth="1"/>
    <col min="14596" max="14596" width="11.26953125" style="119" customWidth="1"/>
    <col min="14597" max="14597" width="12" style="119" customWidth="1"/>
    <col min="14598" max="14598" width="9.7265625" style="119" customWidth="1"/>
    <col min="14599" max="14599" width="11.1796875" style="119" customWidth="1"/>
    <col min="14600" max="14600" width="10.36328125" style="119" customWidth="1"/>
    <col min="14601" max="14601" width="10" style="119" customWidth="1"/>
    <col min="14602" max="14602" width="11.08984375" style="119" bestFit="1" customWidth="1"/>
    <col min="14603" max="14603" width="9.6328125" style="119" customWidth="1"/>
    <col min="14604" max="14848" width="8.81640625" style="119"/>
    <col min="14849" max="14849" width="2.6328125" style="119" customWidth="1"/>
    <col min="14850" max="14850" width="25.453125" style="119" customWidth="1"/>
    <col min="14851" max="14851" width="7.26953125" style="119" customWidth="1"/>
    <col min="14852" max="14852" width="11.26953125" style="119" customWidth="1"/>
    <col min="14853" max="14853" width="12" style="119" customWidth="1"/>
    <col min="14854" max="14854" width="9.7265625" style="119" customWidth="1"/>
    <col min="14855" max="14855" width="11.1796875" style="119" customWidth="1"/>
    <col min="14856" max="14856" width="10.36328125" style="119" customWidth="1"/>
    <col min="14857" max="14857" width="10" style="119" customWidth="1"/>
    <col min="14858" max="14858" width="11.08984375" style="119" bestFit="1" customWidth="1"/>
    <col min="14859" max="14859" width="9.6328125" style="119" customWidth="1"/>
    <col min="14860" max="15104" width="8.81640625" style="119"/>
    <col min="15105" max="15105" width="2.6328125" style="119" customWidth="1"/>
    <col min="15106" max="15106" width="25.453125" style="119" customWidth="1"/>
    <col min="15107" max="15107" width="7.26953125" style="119" customWidth="1"/>
    <col min="15108" max="15108" width="11.26953125" style="119" customWidth="1"/>
    <col min="15109" max="15109" width="12" style="119" customWidth="1"/>
    <col min="15110" max="15110" width="9.7265625" style="119" customWidth="1"/>
    <col min="15111" max="15111" width="11.1796875" style="119" customWidth="1"/>
    <col min="15112" max="15112" width="10.36328125" style="119" customWidth="1"/>
    <col min="15113" max="15113" width="10" style="119" customWidth="1"/>
    <col min="15114" max="15114" width="11.08984375" style="119" bestFit="1" customWidth="1"/>
    <col min="15115" max="15115" width="9.6328125" style="119" customWidth="1"/>
    <col min="15116" max="15360" width="8.81640625" style="119"/>
    <col min="15361" max="15361" width="2.6328125" style="119" customWidth="1"/>
    <col min="15362" max="15362" width="25.453125" style="119" customWidth="1"/>
    <col min="15363" max="15363" width="7.26953125" style="119" customWidth="1"/>
    <col min="15364" max="15364" width="11.26953125" style="119" customWidth="1"/>
    <col min="15365" max="15365" width="12" style="119" customWidth="1"/>
    <col min="15366" max="15366" width="9.7265625" style="119" customWidth="1"/>
    <col min="15367" max="15367" width="11.1796875" style="119" customWidth="1"/>
    <col min="15368" max="15368" width="10.36328125" style="119" customWidth="1"/>
    <col min="15369" max="15369" width="10" style="119" customWidth="1"/>
    <col min="15370" max="15370" width="11.08984375" style="119" bestFit="1" customWidth="1"/>
    <col min="15371" max="15371" width="9.6328125" style="119" customWidth="1"/>
    <col min="15372" max="15616" width="8.81640625" style="119"/>
    <col min="15617" max="15617" width="2.6328125" style="119" customWidth="1"/>
    <col min="15618" max="15618" width="25.453125" style="119" customWidth="1"/>
    <col min="15619" max="15619" width="7.26953125" style="119" customWidth="1"/>
    <col min="15620" max="15620" width="11.26953125" style="119" customWidth="1"/>
    <col min="15621" max="15621" width="12" style="119" customWidth="1"/>
    <col min="15622" max="15622" width="9.7265625" style="119" customWidth="1"/>
    <col min="15623" max="15623" width="11.1796875" style="119" customWidth="1"/>
    <col min="15624" max="15624" width="10.36328125" style="119" customWidth="1"/>
    <col min="15625" max="15625" width="10" style="119" customWidth="1"/>
    <col min="15626" max="15626" width="11.08984375" style="119" bestFit="1" customWidth="1"/>
    <col min="15627" max="15627" width="9.6328125" style="119" customWidth="1"/>
    <col min="15628" max="15872" width="8.81640625" style="119"/>
    <col min="15873" max="15873" width="2.6328125" style="119" customWidth="1"/>
    <col min="15874" max="15874" width="25.453125" style="119" customWidth="1"/>
    <col min="15875" max="15875" width="7.26953125" style="119" customWidth="1"/>
    <col min="15876" max="15876" width="11.26953125" style="119" customWidth="1"/>
    <col min="15877" max="15877" width="12" style="119" customWidth="1"/>
    <col min="15878" max="15878" width="9.7265625" style="119" customWidth="1"/>
    <col min="15879" max="15879" width="11.1796875" style="119" customWidth="1"/>
    <col min="15880" max="15880" width="10.36328125" style="119" customWidth="1"/>
    <col min="15881" max="15881" width="10" style="119" customWidth="1"/>
    <col min="15882" max="15882" width="11.08984375" style="119" bestFit="1" customWidth="1"/>
    <col min="15883" max="15883" width="9.6328125" style="119" customWidth="1"/>
    <col min="15884" max="16128" width="8.81640625" style="119"/>
    <col min="16129" max="16129" width="2.6328125" style="119" customWidth="1"/>
    <col min="16130" max="16130" width="25.453125" style="119" customWidth="1"/>
    <col min="16131" max="16131" width="7.26953125" style="119" customWidth="1"/>
    <col min="16132" max="16132" width="11.26953125" style="119" customWidth="1"/>
    <col min="16133" max="16133" width="12" style="119" customWidth="1"/>
    <col min="16134" max="16134" width="9.7265625" style="119" customWidth="1"/>
    <col min="16135" max="16135" width="11.1796875" style="119" customWidth="1"/>
    <col min="16136" max="16136" width="10.36328125" style="119" customWidth="1"/>
    <col min="16137" max="16137" width="10" style="119" customWidth="1"/>
    <col min="16138" max="16138" width="11.08984375" style="119" bestFit="1" customWidth="1"/>
    <col min="16139" max="16139" width="9.6328125" style="119" customWidth="1"/>
    <col min="16140" max="16384" width="8.81640625" style="119"/>
  </cols>
  <sheetData>
    <row r="1" spans="2:15">
      <c r="B1" s="119" t="s">
        <v>154</v>
      </c>
    </row>
    <row r="2" spans="2:15" ht="24.5" customHeight="1">
      <c r="B2" s="322" t="s">
        <v>197</v>
      </c>
      <c r="C2" s="322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322"/>
      <c r="O2" s="322"/>
    </row>
    <row r="3" spans="2:15" ht="18" thickBot="1">
      <c r="B3" s="121" t="s">
        <v>155</v>
      </c>
    </row>
    <row r="4" spans="2:15" ht="30.75" customHeight="1" thickBot="1">
      <c r="B4" s="141"/>
      <c r="C4" s="142"/>
      <c r="D4" s="143" t="s">
        <v>156</v>
      </c>
      <c r="E4" s="144" t="s">
        <v>157</v>
      </c>
      <c r="F4" s="143" t="s">
        <v>158</v>
      </c>
      <c r="G4" s="143" t="s">
        <v>132</v>
      </c>
      <c r="H4" s="145" t="s">
        <v>159</v>
      </c>
      <c r="I4" s="146" t="s">
        <v>160</v>
      </c>
      <c r="J4" s="147" t="s">
        <v>161</v>
      </c>
      <c r="K4" s="148" t="s">
        <v>162</v>
      </c>
    </row>
    <row r="5" spans="2:15" ht="17">
      <c r="B5" s="149" t="s">
        <v>163</v>
      </c>
      <c r="C5" s="150"/>
      <c r="D5" s="151" t="s">
        <v>164</v>
      </c>
      <c r="E5" s="152">
        <f>('[1]MCI_Design Data_Base'!P5*[1]MCI_材料cost!J6)/'[1]MCI_Design Data_Base'!G5*1000</f>
        <v>2.263405362144858E-3</v>
      </c>
      <c r="F5" s="153">
        <v>1</v>
      </c>
      <c r="G5" s="154">
        <v>1</v>
      </c>
      <c r="H5" s="155">
        <f t="shared" ref="H5:H10" si="0">E5*F5*G5</f>
        <v>2.263405362144858E-3</v>
      </c>
      <c r="I5" s="156"/>
      <c r="J5" s="157">
        <f t="shared" ref="J5:J12" si="1">H5*I5</f>
        <v>0</v>
      </c>
      <c r="K5" s="158" t="e">
        <f t="shared" ref="K5:K13" si="2">J5/$J$35</f>
        <v>#N/A</v>
      </c>
      <c r="N5" s="159" t="s">
        <v>137</v>
      </c>
    </row>
    <row r="6" spans="2:15" ht="17">
      <c r="B6" s="149" t="s">
        <v>165</v>
      </c>
      <c r="C6" s="160"/>
      <c r="D6" s="151" t="s">
        <v>164</v>
      </c>
      <c r="E6" s="152">
        <f>'[1]MCI_Design Data_Base'!O5*[1]MCI_材料cost!J8/'[1]MCI_Design Data_Base'!G5*1000</f>
        <v>2.7160864345738292E-2</v>
      </c>
      <c r="F6" s="153">
        <v>1</v>
      </c>
      <c r="G6" s="154">
        <v>1</v>
      </c>
      <c r="H6" s="155">
        <f t="shared" si="0"/>
        <v>2.7160864345738292E-2</v>
      </c>
      <c r="I6" s="156"/>
      <c r="J6" s="157">
        <f t="shared" si="1"/>
        <v>0</v>
      </c>
      <c r="K6" s="158" t="e">
        <f t="shared" si="2"/>
        <v>#N/A</v>
      </c>
    </row>
    <row r="7" spans="2:15" ht="17.5">
      <c r="B7" s="149" t="s">
        <v>166</v>
      </c>
      <c r="C7" s="161"/>
      <c r="D7" s="151" t="s">
        <v>164</v>
      </c>
      <c r="E7" s="162">
        <f>'[1]MCI_Design Data_Base'!M5*[1]MCI_材料cost!J9/'[1]MCI_Design Data_Base'!G5*1000</f>
        <v>9.0536214485794318E-3</v>
      </c>
      <c r="F7" s="153">
        <v>1</v>
      </c>
      <c r="G7" s="154">
        <v>1</v>
      </c>
      <c r="H7" s="155">
        <f t="shared" si="0"/>
        <v>9.0536214485794318E-3</v>
      </c>
      <c r="I7" s="156"/>
      <c r="J7" s="157">
        <f t="shared" si="1"/>
        <v>0</v>
      </c>
      <c r="K7" s="158" t="e">
        <f t="shared" si="2"/>
        <v>#N/A</v>
      </c>
    </row>
    <row r="8" spans="2:15" ht="17">
      <c r="B8" s="149" t="s">
        <v>167</v>
      </c>
      <c r="C8" s="163"/>
      <c r="D8" s="151" t="s">
        <v>168</v>
      </c>
      <c r="E8" s="152">
        <f>[1]MCI_材料cost!J10*'[1]MCI_Design Data_Base'!J5</f>
        <v>4.7300000000000002E-2</v>
      </c>
      <c r="F8" s="153">
        <v>1.1000000000000001</v>
      </c>
      <c r="G8" s="154">
        <v>1</v>
      </c>
      <c r="H8" s="155">
        <f t="shared" si="0"/>
        <v>5.2030000000000007E-2</v>
      </c>
      <c r="I8" s="156"/>
      <c r="J8" s="157">
        <f t="shared" si="1"/>
        <v>0</v>
      </c>
      <c r="K8" s="158" t="e">
        <f t="shared" si="2"/>
        <v>#N/A</v>
      </c>
    </row>
    <row r="9" spans="2:15" ht="17">
      <c r="B9" s="149" t="s">
        <v>169</v>
      </c>
      <c r="C9" s="163"/>
      <c r="D9" s="151" t="s">
        <v>168</v>
      </c>
      <c r="E9" s="164">
        <f>'[1]MCI_Design Data_Base'!P5*[1]MCI_材料cost!J11</f>
        <v>1.11E-2</v>
      </c>
      <c r="F9" s="153">
        <v>1.1000000000000001</v>
      </c>
      <c r="G9" s="154">
        <v>1</v>
      </c>
      <c r="H9" s="155">
        <f t="shared" si="0"/>
        <v>1.2210000000000002E-2</v>
      </c>
      <c r="I9" s="156"/>
      <c r="J9" s="157">
        <f t="shared" si="1"/>
        <v>0</v>
      </c>
      <c r="K9" s="158" t="e">
        <f t="shared" si="2"/>
        <v>#N/A</v>
      </c>
    </row>
    <row r="10" spans="2:15" ht="17">
      <c r="B10" s="149" t="s">
        <v>170</v>
      </c>
      <c r="C10" s="163"/>
      <c r="D10" s="151" t="s">
        <v>168</v>
      </c>
      <c r="E10" s="157">
        <f>[1]MCI_材料cost!J12</f>
        <v>1.896069373832384E-2</v>
      </c>
      <c r="F10" s="153">
        <v>1.1000000000000001</v>
      </c>
      <c r="G10" s="154">
        <v>1</v>
      </c>
      <c r="H10" s="155">
        <f t="shared" si="0"/>
        <v>2.0856763112156226E-2</v>
      </c>
      <c r="I10" s="156"/>
      <c r="J10" s="157">
        <f t="shared" si="1"/>
        <v>0</v>
      </c>
      <c r="K10" s="158" t="e">
        <f t="shared" si="2"/>
        <v>#N/A</v>
      </c>
    </row>
    <row r="11" spans="2:15" ht="17">
      <c r="B11" s="149" t="s">
        <v>118</v>
      </c>
      <c r="C11" s="163"/>
      <c r="D11" s="151" t="s">
        <v>164</v>
      </c>
      <c r="E11" s="165">
        <f>[1]MCI_材料cost!J13</f>
        <v>2.2000000000000002</v>
      </c>
      <c r="F11" s="153">
        <v>1.1000000000000001</v>
      </c>
      <c r="G11" s="154">
        <v>1</v>
      </c>
      <c r="H11" s="155">
        <f>E11*F11*G11</f>
        <v>2.4200000000000004</v>
      </c>
      <c r="I11" s="156"/>
      <c r="J11" s="157">
        <f t="shared" si="1"/>
        <v>0</v>
      </c>
      <c r="K11" s="166" t="e">
        <f t="shared" si="2"/>
        <v>#N/A</v>
      </c>
    </row>
    <row r="12" spans="2:15" ht="17">
      <c r="B12" s="149" t="s">
        <v>119</v>
      </c>
      <c r="C12" s="163"/>
      <c r="D12" s="151" t="s">
        <v>164</v>
      </c>
      <c r="E12" s="165">
        <f>[1]MCI_材料cost!J14</f>
        <v>2.2000000000000002</v>
      </c>
      <c r="F12" s="153">
        <v>1.1000000000000001</v>
      </c>
      <c r="G12" s="154">
        <v>1</v>
      </c>
      <c r="H12" s="155">
        <f>E12*F12*G12</f>
        <v>2.4200000000000004</v>
      </c>
      <c r="I12" s="156"/>
      <c r="J12" s="157">
        <f t="shared" si="1"/>
        <v>0</v>
      </c>
      <c r="K12" s="158" t="e">
        <f t="shared" si="2"/>
        <v>#N/A</v>
      </c>
    </row>
    <row r="13" spans="2:15" ht="17.5" thickBot="1">
      <c r="B13" s="167" t="s">
        <v>120</v>
      </c>
      <c r="C13" s="163"/>
      <c r="D13" s="151" t="s">
        <v>171</v>
      </c>
      <c r="E13" s="165"/>
      <c r="F13" s="157"/>
      <c r="G13" s="152"/>
      <c r="H13" s="155"/>
      <c r="I13" s="168"/>
      <c r="J13" s="157">
        <v>6.7000000000000004E-2</v>
      </c>
      <c r="K13" s="158" t="e">
        <f t="shared" si="2"/>
        <v>#N/A</v>
      </c>
    </row>
    <row r="14" spans="2:15" ht="18" customHeight="1" thickBot="1">
      <c r="B14" s="169"/>
      <c r="C14" s="170"/>
      <c r="D14" s="170"/>
      <c r="E14" s="171" t="s">
        <v>172</v>
      </c>
      <c r="F14" s="170"/>
      <c r="G14" s="170"/>
      <c r="H14" s="170"/>
      <c r="I14" s="170"/>
      <c r="J14" s="172">
        <f>SUM(J5:J13)</f>
        <v>6.7000000000000004E-2</v>
      </c>
      <c r="K14" s="173" t="e">
        <f>J14/J35</f>
        <v>#N/A</v>
      </c>
    </row>
    <row r="15" spans="2:15" ht="26.25" customHeight="1" thickBot="1">
      <c r="B15" s="174" t="s">
        <v>173</v>
      </c>
      <c r="C15" s="175" t="s">
        <v>174</v>
      </c>
      <c r="D15" s="176" t="s">
        <v>175</v>
      </c>
      <c r="E15" s="176" t="s">
        <v>176</v>
      </c>
      <c r="F15" s="176" t="s">
        <v>177</v>
      </c>
      <c r="G15" s="176" t="s">
        <v>132</v>
      </c>
      <c r="H15" s="176" t="s">
        <v>178</v>
      </c>
      <c r="I15" s="176" t="s">
        <v>179</v>
      </c>
      <c r="J15" s="176" t="s">
        <v>180</v>
      </c>
      <c r="K15" s="177" t="s">
        <v>181</v>
      </c>
      <c r="L15" s="178" t="s">
        <v>182</v>
      </c>
      <c r="M15" s="145" t="s">
        <v>183</v>
      </c>
      <c r="N15" s="145" t="s">
        <v>184</v>
      </c>
      <c r="O15" s="179" t="s">
        <v>185</v>
      </c>
    </row>
    <row r="16" spans="2:15" ht="17">
      <c r="B16" s="180" t="s">
        <v>186</v>
      </c>
      <c r="C16" s="181"/>
      <c r="D16" s="182" t="e">
        <f>TD!D6</f>
        <v>#N/A</v>
      </c>
      <c r="E16" s="183" t="e">
        <f t="shared" ref="E16:E29" si="3">60/D16*C16</f>
        <v>#N/A</v>
      </c>
      <c r="F16" s="184" t="e">
        <f>1/TD!E6</f>
        <v>#N/A</v>
      </c>
      <c r="G16" s="184" t="e">
        <f>TD!C6</f>
        <v>#N/A</v>
      </c>
      <c r="H16" s="183" t="e">
        <f t="shared" ref="H16:H29" si="4">E16*F16*G16</f>
        <v>#N/A</v>
      </c>
      <c r="I16" s="185"/>
      <c r="J16" s="183" t="e">
        <f t="shared" ref="J16:J29" si="5">H16*I16</f>
        <v>#N/A</v>
      </c>
      <c r="K16" s="186" t="e">
        <f t="shared" ref="K16:K29" si="6">J16/$J$35</f>
        <v>#N/A</v>
      </c>
      <c r="L16" s="187"/>
      <c r="M16" s="183" t="e">
        <f t="shared" ref="M16:M29" si="7">1*L16*H16</f>
        <v>#N/A</v>
      </c>
      <c r="N16" s="184" t="e">
        <f>M16*2.43</f>
        <v>#N/A</v>
      </c>
      <c r="O16" s="188" t="e">
        <f>M16*0</f>
        <v>#N/A</v>
      </c>
    </row>
    <row r="17" spans="2:15" ht="17">
      <c r="B17" s="189" t="s">
        <v>187</v>
      </c>
      <c r="C17" s="190"/>
      <c r="D17" s="140" t="e">
        <f>TD!D7</f>
        <v>#N/A</v>
      </c>
      <c r="E17" s="155" t="e">
        <f t="shared" si="3"/>
        <v>#N/A</v>
      </c>
      <c r="F17" s="155" t="e">
        <f>1/TD!E7</f>
        <v>#N/A</v>
      </c>
      <c r="G17" s="155" t="e">
        <f>TD!C7</f>
        <v>#N/A</v>
      </c>
      <c r="H17" s="191" t="e">
        <f t="shared" si="4"/>
        <v>#N/A</v>
      </c>
      <c r="I17" s="153"/>
      <c r="J17" s="155" t="e">
        <f t="shared" si="5"/>
        <v>#N/A</v>
      </c>
      <c r="K17" s="158" t="e">
        <f t="shared" si="6"/>
        <v>#N/A</v>
      </c>
      <c r="L17" s="192"/>
      <c r="M17" s="155" t="e">
        <f t="shared" si="7"/>
        <v>#N/A</v>
      </c>
      <c r="N17" s="155" t="e">
        <f t="shared" ref="N17:N29" si="8">M17*2.43</f>
        <v>#N/A</v>
      </c>
      <c r="O17" s="193" t="e">
        <f t="shared" ref="O17:O29" si="9">M17*0</f>
        <v>#N/A</v>
      </c>
    </row>
    <row r="18" spans="2:15" ht="17">
      <c r="B18" s="189" t="s">
        <v>188</v>
      </c>
      <c r="C18" s="190"/>
      <c r="D18" s="140" t="e">
        <f>TD!D8</f>
        <v>#N/A</v>
      </c>
      <c r="E18" s="155" t="e">
        <f t="shared" si="3"/>
        <v>#N/A</v>
      </c>
      <c r="F18" s="155" t="e">
        <f>1/TD!E8</f>
        <v>#N/A</v>
      </c>
      <c r="G18" s="155" t="e">
        <f>TD!C8</f>
        <v>#N/A</v>
      </c>
      <c r="H18" s="191" t="e">
        <f t="shared" si="4"/>
        <v>#N/A</v>
      </c>
      <c r="I18" s="153"/>
      <c r="J18" s="155" t="e">
        <f t="shared" si="5"/>
        <v>#N/A</v>
      </c>
      <c r="K18" s="158" t="e">
        <f t="shared" si="6"/>
        <v>#N/A</v>
      </c>
      <c r="L18" s="192"/>
      <c r="M18" s="155" t="e">
        <f t="shared" si="7"/>
        <v>#N/A</v>
      </c>
      <c r="N18" s="155" t="e">
        <f t="shared" si="8"/>
        <v>#N/A</v>
      </c>
      <c r="O18" s="193" t="e">
        <f t="shared" si="9"/>
        <v>#N/A</v>
      </c>
    </row>
    <row r="19" spans="2:15" ht="17">
      <c r="B19" s="189" t="s">
        <v>189</v>
      </c>
      <c r="C19" s="190"/>
      <c r="D19" s="140" t="e">
        <f>TD!D9</f>
        <v>#N/A</v>
      </c>
      <c r="E19" s="155" t="e">
        <f t="shared" si="3"/>
        <v>#N/A</v>
      </c>
      <c r="F19" s="155" t="e">
        <f>1/TD!E9</f>
        <v>#N/A</v>
      </c>
      <c r="G19" s="155" t="e">
        <f>TD!C9</f>
        <v>#N/A</v>
      </c>
      <c r="H19" s="191" t="e">
        <f t="shared" si="4"/>
        <v>#N/A</v>
      </c>
      <c r="I19" s="153"/>
      <c r="J19" s="155" t="e">
        <f t="shared" si="5"/>
        <v>#N/A</v>
      </c>
      <c r="K19" s="158" t="e">
        <f t="shared" si="6"/>
        <v>#N/A</v>
      </c>
      <c r="L19" s="192"/>
      <c r="M19" s="155" t="e">
        <f t="shared" si="7"/>
        <v>#N/A</v>
      </c>
      <c r="N19" s="155" t="e">
        <f t="shared" si="8"/>
        <v>#N/A</v>
      </c>
      <c r="O19" s="193" t="e">
        <f t="shared" si="9"/>
        <v>#N/A</v>
      </c>
    </row>
    <row r="20" spans="2:15" ht="17">
      <c r="B20" s="194" t="s">
        <v>144</v>
      </c>
      <c r="C20" s="190"/>
      <c r="D20" s="140" t="e">
        <f>TD!D10</f>
        <v>#N/A</v>
      </c>
      <c r="E20" s="155" t="e">
        <f t="shared" si="3"/>
        <v>#N/A</v>
      </c>
      <c r="F20" s="155" t="e">
        <f>1/TD!E10</f>
        <v>#N/A</v>
      </c>
      <c r="G20" s="155" t="e">
        <f>TD!C10</f>
        <v>#N/A</v>
      </c>
      <c r="H20" s="191" t="e">
        <f t="shared" si="4"/>
        <v>#N/A</v>
      </c>
      <c r="I20" s="153"/>
      <c r="J20" s="155" t="e">
        <f t="shared" si="5"/>
        <v>#N/A</v>
      </c>
      <c r="K20" s="158" t="e">
        <f t="shared" si="6"/>
        <v>#N/A</v>
      </c>
      <c r="L20" s="192"/>
      <c r="M20" s="155" t="e">
        <f t="shared" si="7"/>
        <v>#N/A</v>
      </c>
      <c r="N20" s="155" t="e">
        <f t="shared" si="8"/>
        <v>#N/A</v>
      </c>
      <c r="O20" s="193" t="e">
        <f t="shared" si="9"/>
        <v>#N/A</v>
      </c>
    </row>
    <row r="21" spans="2:15" ht="17">
      <c r="B21" s="189" t="s">
        <v>145</v>
      </c>
      <c r="C21" s="190"/>
      <c r="D21" s="140" t="e">
        <f>TD!D11</f>
        <v>#N/A</v>
      </c>
      <c r="E21" s="155" t="e">
        <f t="shared" si="3"/>
        <v>#N/A</v>
      </c>
      <c r="F21" s="155" t="e">
        <f>1/TD!E11</f>
        <v>#N/A</v>
      </c>
      <c r="G21" s="155" t="e">
        <f>TD!C11</f>
        <v>#N/A</v>
      </c>
      <c r="H21" s="191" t="e">
        <f t="shared" si="4"/>
        <v>#N/A</v>
      </c>
      <c r="I21" s="195"/>
      <c r="J21" s="155" t="e">
        <f t="shared" si="5"/>
        <v>#N/A</v>
      </c>
      <c r="K21" s="158" t="e">
        <f t="shared" si="6"/>
        <v>#N/A</v>
      </c>
      <c r="L21" s="192"/>
      <c r="M21" s="155" t="e">
        <f t="shared" si="7"/>
        <v>#N/A</v>
      </c>
      <c r="N21" s="155" t="e">
        <f t="shared" si="8"/>
        <v>#N/A</v>
      </c>
      <c r="O21" s="193" t="e">
        <f t="shared" si="9"/>
        <v>#N/A</v>
      </c>
    </row>
    <row r="22" spans="2:15" ht="17">
      <c r="B22" s="189" t="s">
        <v>146</v>
      </c>
      <c r="C22" s="190"/>
      <c r="D22" s="140" t="e">
        <f>TD!D13</f>
        <v>#N/A</v>
      </c>
      <c r="E22" s="155" t="e">
        <f t="shared" si="3"/>
        <v>#N/A</v>
      </c>
      <c r="F22" s="155" t="e">
        <f>1/TD!E13</f>
        <v>#N/A</v>
      </c>
      <c r="G22" s="155" t="e">
        <f>TD!C13</f>
        <v>#N/A</v>
      </c>
      <c r="H22" s="191" t="e">
        <f t="shared" si="4"/>
        <v>#N/A</v>
      </c>
      <c r="I22" s="153"/>
      <c r="J22" s="155" t="e">
        <f t="shared" si="5"/>
        <v>#N/A</v>
      </c>
      <c r="K22" s="158" t="e">
        <f t="shared" si="6"/>
        <v>#N/A</v>
      </c>
      <c r="L22" s="192"/>
      <c r="M22" s="155" t="e">
        <f t="shared" si="7"/>
        <v>#N/A</v>
      </c>
      <c r="N22" s="155" t="e">
        <f t="shared" si="8"/>
        <v>#N/A</v>
      </c>
      <c r="O22" s="193" t="e">
        <f t="shared" si="9"/>
        <v>#N/A</v>
      </c>
    </row>
    <row r="23" spans="2:15" ht="17">
      <c r="B23" s="194" t="s">
        <v>147</v>
      </c>
      <c r="C23" s="190"/>
      <c r="D23" s="140" t="e">
        <f>TD!D14</f>
        <v>#N/A</v>
      </c>
      <c r="E23" s="155" t="e">
        <f t="shared" si="3"/>
        <v>#N/A</v>
      </c>
      <c r="F23" s="155" t="e">
        <f>1/TD!E14</f>
        <v>#N/A</v>
      </c>
      <c r="G23" s="155" t="e">
        <f>TD!C14</f>
        <v>#N/A</v>
      </c>
      <c r="H23" s="191" t="e">
        <f t="shared" si="4"/>
        <v>#N/A</v>
      </c>
      <c r="I23" s="153"/>
      <c r="J23" s="155" t="e">
        <f t="shared" si="5"/>
        <v>#N/A</v>
      </c>
      <c r="K23" s="158" t="e">
        <f t="shared" si="6"/>
        <v>#N/A</v>
      </c>
      <c r="L23" s="192"/>
      <c r="M23" s="155" t="e">
        <f t="shared" si="7"/>
        <v>#N/A</v>
      </c>
      <c r="N23" s="155" t="e">
        <f t="shared" si="8"/>
        <v>#N/A</v>
      </c>
      <c r="O23" s="193" t="e">
        <f t="shared" si="9"/>
        <v>#N/A</v>
      </c>
    </row>
    <row r="24" spans="2:15" ht="17">
      <c r="B24" s="196" t="s">
        <v>148</v>
      </c>
      <c r="C24" s="190"/>
      <c r="D24" s="140" t="e">
        <f>TD!D15</f>
        <v>#N/A</v>
      </c>
      <c r="E24" s="155" t="e">
        <f t="shared" si="3"/>
        <v>#N/A</v>
      </c>
      <c r="F24" s="155" t="e">
        <f>1/TD!E15</f>
        <v>#N/A</v>
      </c>
      <c r="G24" s="155" t="e">
        <f>TD!C15</f>
        <v>#N/A</v>
      </c>
      <c r="H24" s="191" t="e">
        <f t="shared" si="4"/>
        <v>#N/A</v>
      </c>
      <c r="I24" s="153"/>
      <c r="J24" s="155" t="e">
        <f t="shared" si="5"/>
        <v>#N/A</v>
      </c>
      <c r="K24" s="158" t="e">
        <f t="shared" si="6"/>
        <v>#N/A</v>
      </c>
      <c r="L24" s="192"/>
      <c r="M24" s="155" t="e">
        <f t="shared" si="7"/>
        <v>#N/A</v>
      </c>
      <c r="N24" s="155" t="e">
        <f t="shared" si="8"/>
        <v>#N/A</v>
      </c>
      <c r="O24" s="193" t="e">
        <f t="shared" si="9"/>
        <v>#N/A</v>
      </c>
    </row>
    <row r="25" spans="2:15" ht="17">
      <c r="B25" s="196" t="s">
        <v>149</v>
      </c>
      <c r="C25" s="190"/>
      <c r="D25" s="140" t="e">
        <f>TD!D16</f>
        <v>#N/A</v>
      </c>
      <c r="E25" s="155" t="e">
        <f t="shared" si="3"/>
        <v>#N/A</v>
      </c>
      <c r="F25" s="155" t="e">
        <f>1/TD!E16</f>
        <v>#N/A</v>
      </c>
      <c r="G25" s="155" t="e">
        <f>TD!C16</f>
        <v>#N/A</v>
      </c>
      <c r="H25" s="191" t="e">
        <f t="shared" si="4"/>
        <v>#N/A</v>
      </c>
      <c r="I25" s="153"/>
      <c r="J25" s="155" t="e">
        <f t="shared" si="5"/>
        <v>#N/A</v>
      </c>
      <c r="K25" s="158" t="e">
        <f t="shared" si="6"/>
        <v>#N/A</v>
      </c>
      <c r="L25" s="192"/>
      <c r="M25" s="155" t="e">
        <f t="shared" si="7"/>
        <v>#N/A</v>
      </c>
      <c r="N25" s="155" t="e">
        <f t="shared" si="8"/>
        <v>#N/A</v>
      </c>
      <c r="O25" s="193" t="e">
        <f t="shared" si="9"/>
        <v>#N/A</v>
      </c>
    </row>
    <row r="26" spans="2:15" ht="17">
      <c r="B26" s="196" t="s">
        <v>150</v>
      </c>
      <c r="C26" s="190"/>
      <c r="D26" s="140" t="e">
        <f>TD!D17</f>
        <v>#N/A</v>
      </c>
      <c r="E26" s="155" t="e">
        <f t="shared" si="3"/>
        <v>#N/A</v>
      </c>
      <c r="F26" s="155" t="e">
        <f>1/TD!E17</f>
        <v>#N/A</v>
      </c>
      <c r="G26" s="155" t="e">
        <f>TD!C17</f>
        <v>#N/A</v>
      </c>
      <c r="H26" s="191" t="e">
        <f t="shared" si="4"/>
        <v>#N/A</v>
      </c>
      <c r="I26" s="153"/>
      <c r="J26" s="155" t="e">
        <f t="shared" si="5"/>
        <v>#N/A</v>
      </c>
      <c r="K26" s="158" t="e">
        <f t="shared" si="6"/>
        <v>#N/A</v>
      </c>
      <c r="L26" s="192"/>
      <c r="M26" s="155" t="e">
        <f t="shared" si="7"/>
        <v>#N/A</v>
      </c>
      <c r="N26" s="155" t="e">
        <f t="shared" si="8"/>
        <v>#N/A</v>
      </c>
      <c r="O26" s="193" t="e">
        <f t="shared" si="9"/>
        <v>#N/A</v>
      </c>
    </row>
    <row r="27" spans="2:15" ht="17">
      <c r="B27" s="196" t="s">
        <v>151</v>
      </c>
      <c r="C27" s="190"/>
      <c r="D27" s="140" t="e">
        <f>TD!D18</f>
        <v>#N/A</v>
      </c>
      <c r="E27" s="155" t="e">
        <f t="shared" si="3"/>
        <v>#N/A</v>
      </c>
      <c r="F27" s="155" t="e">
        <f>1/TD!E18</f>
        <v>#N/A</v>
      </c>
      <c r="G27" s="155" t="e">
        <f>TD!C18</f>
        <v>#N/A</v>
      </c>
      <c r="H27" s="191" t="e">
        <f t="shared" si="4"/>
        <v>#N/A</v>
      </c>
      <c r="I27" s="153"/>
      <c r="J27" s="155" t="e">
        <f t="shared" si="5"/>
        <v>#N/A</v>
      </c>
      <c r="K27" s="158" t="e">
        <f t="shared" si="6"/>
        <v>#N/A</v>
      </c>
      <c r="L27" s="192"/>
      <c r="M27" s="155" t="e">
        <f t="shared" si="7"/>
        <v>#N/A</v>
      </c>
      <c r="N27" s="155" t="e">
        <f t="shared" si="8"/>
        <v>#N/A</v>
      </c>
      <c r="O27" s="193" t="e">
        <f t="shared" si="9"/>
        <v>#N/A</v>
      </c>
    </row>
    <row r="28" spans="2:15" ht="17">
      <c r="B28" s="196" t="s">
        <v>152</v>
      </c>
      <c r="C28" s="190"/>
      <c r="D28" s="140" t="e">
        <f>TD!D19</f>
        <v>#N/A</v>
      </c>
      <c r="E28" s="155" t="e">
        <f t="shared" si="3"/>
        <v>#N/A</v>
      </c>
      <c r="F28" s="155" t="e">
        <f>1/TD!E19</f>
        <v>#N/A</v>
      </c>
      <c r="G28" s="155" t="e">
        <f>TD!C19</f>
        <v>#N/A</v>
      </c>
      <c r="H28" s="191" t="e">
        <f t="shared" si="4"/>
        <v>#N/A</v>
      </c>
      <c r="I28" s="153"/>
      <c r="J28" s="155" t="e">
        <f t="shared" si="5"/>
        <v>#N/A</v>
      </c>
      <c r="K28" s="158" t="e">
        <f t="shared" si="6"/>
        <v>#N/A</v>
      </c>
      <c r="L28" s="192"/>
      <c r="M28" s="155" t="e">
        <f t="shared" si="7"/>
        <v>#N/A</v>
      </c>
      <c r="N28" s="155" t="e">
        <f t="shared" si="8"/>
        <v>#N/A</v>
      </c>
      <c r="O28" s="193" t="e">
        <f t="shared" si="9"/>
        <v>#N/A</v>
      </c>
    </row>
    <row r="29" spans="2:15" ht="17">
      <c r="B29" s="196" t="s">
        <v>153</v>
      </c>
      <c r="C29" s="190"/>
      <c r="D29" s="140" t="e">
        <f>TD!D21</f>
        <v>#N/A</v>
      </c>
      <c r="E29" s="155" t="e">
        <f t="shared" si="3"/>
        <v>#N/A</v>
      </c>
      <c r="F29" s="155" t="e">
        <f>1/TD!E21</f>
        <v>#N/A</v>
      </c>
      <c r="G29" s="155" t="e">
        <f>TD!C21</f>
        <v>#N/A</v>
      </c>
      <c r="H29" s="191" t="e">
        <f t="shared" si="4"/>
        <v>#N/A</v>
      </c>
      <c r="I29" s="153"/>
      <c r="J29" s="155" t="e">
        <f t="shared" si="5"/>
        <v>#N/A</v>
      </c>
      <c r="K29" s="158" t="e">
        <f t="shared" si="6"/>
        <v>#N/A</v>
      </c>
      <c r="L29" s="192"/>
      <c r="M29" s="155" t="e">
        <f t="shared" si="7"/>
        <v>#N/A</v>
      </c>
      <c r="N29" s="152" t="e">
        <f t="shared" si="8"/>
        <v>#N/A</v>
      </c>
      <c r="O29" s="193" t="e">
        <f t="shared" si="9"/>
        <v>#N/A</v>
      </c>
    </row>
    <row r="30" spans="2:15" ht="15.5">
      <c r="B30" s="197" t="s">
        <v>154</v>
      </c>
      <c r="C30" s="198"/>
      <c r="D30" s="199" t="s">
        <v>154</v>
      </c>
      <c r="E30" s="200" t="s">
        <v>190</v>
      </c>
      <c r="F30" s="198"/>
      <c r="G30" s="200"/>
      <c r="H30" s="198"/>
      <c r="I30" s="198"/>
      <c r="J30" s="201" t="e">
        <f>SUM(J16:J29)</f>
        <v>#N/A</v>
      </c>
      <c r="K30" s="202" t="e">
        <f>SUM(K16:K29)</f>
        <v>#N/A</v>
      </c>
      <c r="M30" s="119" t="s">
        <v>191</v>
      </c>
      <c r="N30" s="203" t="e">
        <f>SUM(N16:N29)</f>
        <v>#N/A</v>
      </c>
      <c r="O30" s="203" t="e">
        <f>SUM(O16:O29)</f>
        <v>#N/A</v>
      </c>
    </row>
    <row r="31" spans="2:15">
      <c r="B31" s="204" t="s">
        <v>192</v>
      </c>
      <c r="C31" s="205"/>
      <c r="D31" s="205"/>
      <c r="E31" s="205"/>
      <c r="F31" s="205"/>
      <c r="G31" s="205"/>
      <c r="H31" s="205"/>
      <c r="I31" s="205"/>
      <c r="J31" s="206" t="e">
        <f>N30</f>
        <v>#N/A</v>
      </c>
      <c r="K31" s="207" t="e">
        <f>J31/$J$35</f>
        <v>#N/A</v>
      </c>
    </row>
    <row r="32" spans="2:15">
      <c r="B32" s="204" t="s">
        <v>193</v>
      </c>
      <c r="C32" s="205"/>
      <c r="D32" s="205"/>
      <c r="E32" s="205"/>
      <c r="F32" s="205"/>
      <c r="G32" s="205"/>
      <c r="H32" s="205"/>
      <c r="I32" s="205"/>
      <c r="J32" s="206" t="e">
        <f>O30</f>
        <v>#N/A</v>
      </c>
      <c r="K32" s="207" t="e">
        <f>J32/$J$35</f>
        <v>#N/A</v>
      </c>
    </row>
    <row r="33" spans="2:13" ht="17">
      <c r="B33" s="208" t="s">
        <v>194</v>
      </c>
      <c r="C33" s="209"/>
      <c r="D33" s="209"/>
      <c r="E33" s="209"/>
      <c r="F33" s="209"/>
      <c r="G33" s="209"/>
      <c r="H33" s="209"/>
      <c r="I33" s="209"/>
      <c r="J33" s="210">
        <v>3.48</v>
      </c>
      <c r="K33" s="207" t="e">
        <f>J33/$J$35</f>
        <v>#N/A</v>
      </c>
      <c r="M33" s="119" t="s">
        <v>139</v>
      </c>
    </row>
    <row r="34" spans="2:13" ht="17">
      <c r="B34" s="211"/>
      <c r="C34" s="212"/>
      <c r="D34" s="212"/>
      <c r="E34" s="213" t="s">
        <v>195</v>
      </c>
      <c r="F34" s="212"/>
      <c r="G34" s="213"/>
      <c r="H34" s="212"/>
      <c r="I34" s="212"/>
      <c r="J34" s="214">
        <v>10</v>
      </c>
      <c r="K34" s="215" t="e">
        <f>J34/$J$35</f>
        <v>#N/A</v>
      </c>
      <c r="M34" s="119" t="s">
        <v>139</v>
      </c>
    </row>
    <row r="35" spans="2:13" ht="15.5" thickBot="1">
      <c r="B35" s="216" t="s">
        <v>196</v>
      </c>
      <c r="C35" s="170"/>
      <c r="D35" s="170"/>
      <c r="E35" s="170"/>
      <c r="F35" s="170"/>
      <c r="G35" s="170"/>
      <c r="H35" s="170"/>
      <c r="I35" s="217"/>
      <c r="J35" s="218" t="e">
        <f>J14+J30+J31+J32+J33+J34</f>
        <v>#N/A</v>
      </c>
      <c r="K35" s="219" t="e">
        <f>K14+K30+K31+K32+K33+K34</f>
        <v>#N/A</v>
      </c>
      <c r="M35" s="119" t="s">
        <v>139</v>
      </c>
    </row>
    <row r="36" spans="2:13">
      <c r="B36" s="220"/>
      <c r="M36" s="119" t="s">
        <v>139</v>
      </c>
    </row>
    <row r="37" spans="2:13">
      <c r="M37" s="119" t="s">
        <v>139</v>
      </c>
    </row>
    <row r="38" spans="2:13">
      <c r="M38" s="119" t="s">
        <v>139</v>
      </c>
    </row>
    <row r="39" spans="2:13">
      <c r="M39" s="119" t="s">
        <v>139</v>
      </c>
    </row>
    <row r="40" spans="2:13">
      <c r="M40" s="119" t="s">
        <v>139</v>
      </c>
    </row>
    <row r="41" spans="2:13">
      <c r="M41" s="119" t="s">
        <v>139</v>
      </c>
    </row>
    <row r="42" spans="2:13">
      <c r="M42" s="119" t="s">
        <v>139</v>
      </c>
    </row>
    <row r="43" spans="2:13">
      <c r="M43" s="119" t="s">
        <v>139</v>
      </c>
    </row>
    <row r="44" spans="2:13">
      <c r="L44" s="159" t="s">
        <v>137</v>
      </c>
      <c r="M44" s="119" t="s">
        <v>139</v>
      </c>
    </row>
    <row r="45" spans="2:13">
      <c r="M45" s="119" t="s">
        <v>139</v>
      </c>
    </row>
    <row r="46" spans="2:13">
      <c r="M46" s="119" t="s">
        <v>139</v>
      </c>
    </row>
    <row r="47" spans="2:13">
      <c r="M47" s="159" t="s">
        <v>137</v>
      </c>
    </row>
  </sheetData>
  <mergeCells count="1">
    <mergeCell ref="B2:O2"/>
  </mergeCells>
  <phoneticPr fontId="1" type="noConversion"/>
  <printOptions horizontalCentered="1"/>
  <pageMargins left="0" right="0" top="0" bottom="0" header="0" footer="0"/>
  <pageSetup paperSize="9" scale="80" orientation="landscape" horizontalDpi="4294967292" verticalDpi="300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K7"/>
  <sheetViews>
    <sheetView zoomScale="85" zoomScaleNormal="85" workbookViewId="0">
      <selection activeCell="B6" sqref="B6"/>
    </sheetView>
  </sheetViews>
  <sheetFormatPr defaultRowHeight="17"/>
  <cols>
    <col min="3" max="3" width="27.453125" bestFit="1" customWidth="1"/>
    <col min="4" max="4" width="12.08984375" customWidth="1"/>
    <col min="11" max="11" width="14.6328125" customWidth="1"/>
  </cols>
  <sheetData>
    <row r="1" spans="1:11" ht="31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  <row r="2" spans="1:11">
      <c r="A2" s="323" t="s">
        <v>24</v>
      </c>
      <c r="B2" s="11"/>
      <c r="C2" s="10" t="s">
        <v>25</v>
      </c>
      <c r="D2" s="11"/>
      <c r="E2" s="12">
        <v>5421532</v>
      </c>
      <c r="F2" s="13">
        <v>90359</v>
      </c>
      <c r="G2" s="14"/>
      <c r="H2" s="15"/>
      <c r="I2" s="16"/>
      <c r="J2" s="17"/>
      <c r="K2" s="16"/>
    </row>
    <row r="3" spans="1:11">
      <c r="A3" s="323"/>
      <c r="B3" s="11"/>
      <c r="C3" s="10" t="s">
        <v>26</v>
      </c>
      <c r="D3" s="11"/>
      <c r="E3" s="12">
        <v>377000</v>
      </c>
      <c r="F3" s="13">
        <v>2020</v>
      </c>
      <c r="G3" s="14"/>
      <c r="H3" s="15"/>
      <c r="I3" s="16"/>
      <c r="J3" s="17"/>
      <c r="K3" s="16"/>
    </row>
    <row r="4" spans="1:11">
      <c r="A4" s="323"/>
      <c r="B4" s="11"/>
      <c r="C4" s="10" t="s">
        <v>27</v>
      </c>
      <c r="D4" s="11"/>
      <c r="E4" s="12">
        <v>30950</v>
      </c>
      <c r="F4" s="13">
        <v>645</v>
      </c>
      <c r="G4" s="14"/>
      <c r="H4" s="15"/>
      <c r="I4" s="16"/>
      <c r="J4" s="17"/>
      <c r="K4" s="16"/>
    </row>
    <row r="5" spans="1:11">
      <c r="A5" s="323"/>
      <c r="B5" s="11"/>
      <c r="C5" s="10" t="s">
        <v>28</v>
      </c>
      <c r="D5" s="11"/>
      <c r="E5" s="12">
        <v>52000</v>
      </c>
      <c r="F5" s="13">
        <v>1083</v>
      </c>
      <c r="G5" s="14"/>
      <c r="H5" s="15"/>
      <c r="I5" s="16"/>
      <c r="J5" s="17"/>
      <c r="K5" s="16"/>
    </row>
    <row r="6" spans="1:11">
      <c r="A6" s="323"/>
      <c r="B6" s="11"/>
      <c r="C6" s="10" t="s">
        <v>29</v>
      </c>
      <c r="D6" s="11"/>
      <c r="E6" s="12">
        <v>640000</v>
      </c>
      <c r="F6" s="13">
        <f>E6/60</f>
        <v>10666.666666666666</v>
      </c>
      <c r="G6" s="15"/>
      <c r="H6" s="15"/>
      <c r="I6" s="16"/>
      <c r="J6" s="17"/>
      <c r="K6" s="16"/>
    </row>
    <row r="7" spans="1:11">
      <c r="A7" s="323"/>
      <c r="B7" s="1"/>
      <c r="C7" s="20" t="s">
        <v>31</v>
      </c>
      <c r="D7" s="11"/>
      <c r="E7" s="21">
        <v>460000</v>
      </c>
      <c r="F7" s="22">
        <v>4792</v>
      </c>
      <c r="G7" s="1"/>
      <c r="H7" s="1"/>
      <c r="I7" s="1"/>
      <c r="J7" s="1"/>
      <c r="K7" s="1"/>
    </row>
  </sheetData>
  <mergeCells count="3">
    <mergeCell ref="G1:H1"/>
    <mergeCell ref="I1:J1"/>
    <mergeCell ref="A2:A7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K3"/>
  <sheetViews>
    <sheetView workbookViewId="0">
      <selection activeCell="H14" sqref="H14"/>
    </sheetView>
  </sheetViews>
  <sheetFormatPr defaultRowHeight="17"/>
  <sheetData>
    <row r="1" spans="1:11" ht="62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  <row r="2" spans="1:11">
      <c r="A2" s="295" t="s">
        <v>32</v>
      </c>
      <c r="B2" s="11"/>
      <c r="C2" s="10" t="s">
        <v>33</v>
      </c>
      <c r="D2" s="11">
        <v>1</v>
      </c>
      <c r="E2" s="12">
        <v>12306258</v>
      </c>
      <c r="F2" s="13">
        <v>128190</v>
      </c>
      <c r="G2" s="14"/>
      <c r="H2" s="15"/>
      <c r="I2" s="16"/>
      <c r="J2" s="17"/>
      <c r="K2" s="18"/>
    </row>
    <row r="3" spans="1:11">
      <c r="A3" s="297"/>
      <c r="B3" s="11"/>
      <c r="C3" s="10" t="s">
        <v>34</v>
      </c>
      <c r="D3" s="11"/>
      <c r="E3" s="12">
        <v>250000</v>
      </c>
      <c r="F3" s="13">
        <v>5208</v>
      </c>
      <c r="G3" s="14"/>
      <c r="H3" s="15"/>
      <c r="I3" s="16"/>
      <c r="J3" s="17"/>
      <c r="K3" s="18"/>
    </row>
  </sheetData>
  <mergeCells count="3">
    <mergeCell ref="G1:H1"/>
    <mergeCell ref="I1:J1"/>
    <mergeCell ref="A2:A3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K7"/>
  <sheetViews>
    <sheetView workbookViewId="0">
      <selection activeCell="A2" sqref="A2:K7"/>
    </sheetView>
  </sheetViews>
  <sheetFormatPr defaultRowHeight="17"/>
  <cols>
    <col min="3" max="3" width="24.26953125" bestFit="1" customWidth="1"/>
  </cols>
  <sheetData>
    <row r="1" spans="1:11" ht="62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  <row r="2" spans="1:11">
      <c r="A2" s="295" t="s">
        <v>35</v>
      </c>
      <c r="B2" s="11"/>
      <c r="C2" s="23" t="s">
        <v>36</v>
      </c>
      <c r="D2" s="27">
        <v>3</v>
      </c>
      <c r="E2" s="24">
        <v>4926081</v>
      </c>
      <c r="F2" s="25">
        <v>51313</v>
      </c>
      <c r="G2" s="15"/>
      <c r="H2" s="15"/>
      <c r="I2" s="17"/>
      <c r="J2" s="17"/>
      <c r="K2" s="26"/>
    </row>
    <row r="3" spans="1:11">
      <c r="A3" s="296"/>
      <c r="B3" s="11"/>
      <c r="C3" s="23" t="s">
        <v>37</v>
      </c>
      <c r="D3" s="27"/>
      <c r="E3" s="24">
        <v>27772000</v>
      </c>
      <c r="F3" s="25">
        <f>E3/60</f>
        <v>462866.66666666669</v>
      </c>
      <c r="G3" s="15"/>
      <c r="H3" s="15"/>
      <c r="I3" s="17"/>
      <c r="J3" s="17"/>
      <c r="K3" s="26"/>
    </row>
    <row r="4" spans="1:11">
      <c r="A4" s="296"/>
      <c r="B4" s="11"/>
      <c r="C4" s="10" t="s">
        <v>38</v>
      </c>
      <c r="D4" s="11"/>
      <c r="E4" s="12">
        <v>2980650</v>
      </c>
      <c r="F4" s="13">
        <v>62097</v>
      </c>
      <c r="G4" s="14"/>
      <c r="H4" s="15"/>
      <c r="I4" s="16"/>
      <c r="J4" s="17"/>
      <c r="K4" s="18"/>
    </row>
    <row r="5" spans="1:11">
      <c r="A5" s="296"/>
      <c r="B5" s="11"/>
      <c r="C5" s="10" t="s">
        <v>39</v>
      </c>
      <c r="D5" s="11"/>
      <c r="E5" s="12">
        <v>44000</v>
      </c>
      <c r="F5" s="13">
        <v>917</v>
      </c>
      <c r="G5" s="14"/>
      <c r="H5" s="15"/>
      <c r="I5" s="16"/>
      <c r="J5" s="17"/>
      <c r="K5" s="18"/>
    </row>
    <row r="6" spans="1:11">
      <c r="A6" s="296"/>
      <c r="B6" s="11"/>
      <c r="C6" s="10" t="s">
        <v>40</v>
      </c>
      <c r="D6" s="11"/>
      <c r="E6" s="12">
        <v>116000</v>
      </c>
      <c r="F6" s="13">
        <v>731</v>
      </c>
      <c r="G6" s="14"/>
      <c r="H6" s="15"/>
      <c r="I6" s="16"/>
      <c r="J6" s="17"/>
      <c r="K6" s="18"/>
    </row>
    <row r="7" spans="1:11">
      <c r="A7" s="297"/>
      <c r="B7" s="11"/>
      <c r="C7" s="10" t="s">
        <v>41</v>
      </c>
      <c r="D7" s="11"/>
      <c r="E7" s="12">
        <v>190000</v>
      </c>
      <c r="F7" s="13"/>
      <c r="G7" s="14"/>
      <c r="H7" s="15"/>
      <c r="I7" s="16"/>
      <c r="J7" s="17"/>
      <c r="K7" s="18"/>
    </row>
  </sheetData>
  <mergeCells count="3">
    <mergeCell ref="G1:H1"/>
    <mergeCell ref="I1:J1"/>
    <mergeCell ref="A2:A7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K4"/>
  <sheetViews>
    <sheetView workbookViewId="0">
      <selection activeCell="D9" sqref="D9"/>
    </sheetView>
  </sheetViews>
  <sheetFormatPr defaultRowHeight="17"/>
  <cols>
    <col min="3" max="3" width="11.7265625" customWidth="1"/>
    <col min="4" max="4" width="22.26953125" customWidth="1"/>
    <col min="11" max="11" width="12.7265625" customWidth="1"/>
  </cols>
  <sheetData>
    <row r="1" spans="1:11" ht="31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  <row r="2" spans="1:11">
      <c r="A2" s="295" t="s">
        <v>42</v>
      </c>
      <c r="B2" s="11"/>
      <c r="C2" s="23" t="s">
        <v>43</v>
      </c>
      <c r="D2" s="27"/>
      <c r="E2" s="24">
        <v>170000</v>
      </c>
      <c r="F2" s="24">
        <f>E2/96</f>
        <v>1770.8333333333333</v>
      </c>
      <c r="G2" s="14"/>
      <c r="H2" s="15"/>
      <c r="I2" s="16"/>
      <c r="J2" s="17"/>
      <c r="K2" s="18"/>
    </row>
    <row r="3" spans="1:11">
      <c r="A3" s="296"/>
      <c r="B3" s="11"/>
      <c r="C3" s="23" t="s">
        <v>44</v>
      </c>
      <c r="D3" s="27">
        <v>2</v>
      </c>
      <c r="E3" s="24">
        <v>4379408</v>
      </c>
      <c r="F3" s="24">
        <v>72990</v>
      </c>
      <c r="G3" s="14"/>
      <c r="H3" s="15"/>
      <c r="I3" s="16"/>
      <c r="J3" s="17"/>
      <c r="K3" s="18"/>
    </row>
    <row r="4" spans="1:11">
      <c r="A4" s="297"/>
      <c r="B4" s="11"/>
      <c r="C4" s="23" t="s">
        <v>45</v>
      </c>
      <c r="D4" s="27"/>
      <c r="E4" s="24">
        <v>18741000</v>
      </c>
      <c r="F4" s="24">
        <f>E4/60</f>
        <v>312350</v>
      </c>
      <c r="G4" s="14"/>
      <c r="H4" s="15"/>
      <c r="I4" s="16"/>
      <c r="J4" s="17"/>
      <c r="K4" s="18"/>
    </row>
  </sheetData>
  <mergeCells count="3">
    <mergeCell ref="G1:H1"/>
    <mergeCell ref="I1:J1"/>
    <mergeCell ref="A2:A4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K2"/>
  <sheetViews>
    <sheetView workbookViewId="0">
      <selection activeCell="A2" sqref="A2:K2"/>
    </sheetView>
  </sheetViews>
  <sheetFormatPr defaultRowHeight="17"/>
  <sheetData>
    <row r="1" spans="1:11" ht="62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  <row r="2" spans="1:11">
      <c r="A2" s="19" t="s">
        <v>46</v>
      </c>
      <c r="B2" s="11"/>
      <c r="C2" s="23" t="s">
        <v>47</v>
      </c>
      <c r="D2" s="27">
        <v>1</v>
      </c>
      <c r="E2" s="24">
        <v>115040</v>
      </c>
      <c r="F2" s="13">
        <v>1917</v>
      </c>
      <c r="G2" s="14"/>
      <c r="H2" s="15"/>
      <c r="I2" s="16"/>
      <c r="J2" s="17"/>
      <c r="K2" s="18"/>
    </row>
  </sheetData>
  <mergeCells count="2">
    <mergeCell ref="G1:H1"/>
    <mergeCell ref="I1:J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K5"/>
  <sheetViews>
    <sheetView workbookViewId="0">
      <selection activeCell="A2" sqref="A2:K5"/>
    </sheetView>
  </sheetViews>
  <sheetFormatPr defaultRowHeight="17"/>
  <cols>
    <col min="3" max="3" width="8.90625" bestFit="1" customWidth="1"/>
    <col min="4" max="4" width="16" customWidth="1"/>
    <col min="11" max="11" width="13.36328125" customWidth="1"/>
  </cols>
  <sheetData>
    <row r="1" spans="1:11" ht="31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  <row r="2" spans="1:11">
      <c r="A2" s="295" t="s">
        <v>48</v>
      </c>
      <c r="B2" s="11"/>
      <c r="C2" s="23" t="s">
        <v>49</v>
      </c>
      <c r="D2" s="27">
        <v>1</v>
      </c>
      <c r="E2" s="24">
        <v>1500000</v>
      </c>
      <c r="F2" s="13">
        <v>4220</v>
      </c>
      <c r="G2" s="14"/>
      <c r="H2" s="15"/>
      <c r="I2" s="16"/>
      <c r="J2" s="17"/>
      <c r="K2" s="18"/>
    </row>
    <row r="3" spans="1:11" ht="27">
      <c r="A3" s="296"/>
      <c r="B3" s="11"/>
      <c r="C3" s="23" t="s">
        <v>50</v>
      </c>
      <c r="D3" s="27"/>
      <c r="E3" s="24">
        <v>101290</v>
      </c>
      <c r="F3" s="13">
        <v>2110</v>
      </c>
      <c r="G3" s="14"/>
      <c r="H3" s="15"/>
      <c r="I3" s="16"/>
      <c r="J3" s="17"/>
      <c r="K3" s="18"/>
    </row>
    <row r="4" spans="1:11">
      <c r="A4" s="296"/>
      <c r="B4" s="11"/>
      <c r="C4" s="23" t="s">
        <v>51</v>
      </c>
      <c r="D4" s="27"/>
      <c r="E4" s="24">
        <v>111712</v>
      </c>
      <c r="F4" s="13">
        <v>1862</v>
      </c>
      <c r="G4" s="14"/>
      <c r="H4" s="15"/>
      <c r="I4" s="16"/>
      <c r="J4" s="17"/>
      <c r="K4" s="18"/>
    </row>
    <row r="5" spans="1:11">
      <c r="A5" s="297"/>
      <c r="B5" s="11"/>
      <c r="C5" s="23" t="s">
        <v>52</v>
      </c>
      <c r="D5" s="27"/>
      <c r="E5" s="24">
        <v>200277</v>
      </c>
      <c r="F5" s="13">
        <v>2086</v>
      </c>
      <c r="G5" s="14"/>
      <c r="H5" s="15"/>
      <c r="I5" s="16"/>
      <c r="J5" s="17"/>
      <c r="K5" s="18"/>
    </row>
  </sheetData>
  <mergeCells count="3">
    <mergeCell ref="G1:H1"/>
    <mergeCell ref="I1:J1"/>
    <mergeCell ref="A2:A5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K1"/>
  <sheetViews>
    <sheetView workbookViewId="0">
      <selection sqref="A1:K1"/>
    </sheetView>
  </sheetViews>
  <sheetFormatPr defaultRowHeight="17"/>
  <sheetData>
    <row r="1" spans="1:11" ht="62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</sheetData>
  <mergeCells count="2">
    <mergeCell ref="G1:H1"/>
    <mergeCell ref="I1:J1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K2"/>
  <sheetViews>
    <sheetView workbookViewId="0">
      <selection activeCell="A2" sqref="A2:C2"/>
    </sheetView>
  </sheetViews>
  <sheetFormatPr defaultRowHeight="17"/>
  <sheetData>
    <row r="1" spans="1:11" ht="62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  <row r="2" spans="1:11">
      <c r="A2" s="19" t="s">
        <v>53</v>
      </c>
      <c r="B2" s="11"/>
      <c r="C2" s="23" t="s">
        <v>54</v>
      </c>
    </row>
  </sheetData>
  <mergeCells count="2">
    <mergeCell ref="G1:H1"/>
    <mergeCell ref="I1:J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K2"/>
  <sheetViews>
    <sheetView workbookViewId="0">
      <selection activeCell="A2" sqref="A2:F2"/>
    </sheetView>
  </sheetViews>
  <sheetFormatPr defaultRowHeight="17"/>
  <sheetData>
    <row r="1" spans="1:11" ht="62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  <row r="2" spans="1:11">
      <c r="A2" s="19" t="s">
        <v>55</v>
      </c>
      <c r="B2" s="11"/>
      <c r="C2" s="10" t="s">
        <v>56</v>
      </c>
      <c r="D2" s="11">
        <v>1</v>
      </c>
      <c r="E2" s="25">
        <v>210000</v>
      </c>
      <c r="F2" s="13">
        <v>2188</v>
      </c>
    </row>
  </sheetData>
  <mergeCells count="2">
    <mergeCell ref="G1:H1"/>
    <mergeCell ref="I1:J1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K2"/>
  <sheetViews>
    <sheetView workbookViewId="0">
      <selection activeCell="A2" sqref="A2:G2"/>
    </sheetView>
  </sheetViews>
  <sheetFormatPr defaultRowHeight="17"/>
  <sheetData>
    <row r="1" spans="1:11" ht="62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  <row r="2" spans="1:11" ht="27">
      <c r="A2" s="19" t="s">
        <v>57</v>
      </c>
      <c r="B2" s="11"/>
      <c r="C2" s="23" t="s">
        <v>58</v>
      </c>
      <c r="D2" s="27">
        <v>1</v>
      </c>
      <c r="E2" s="24">
        <v>7950000</v>
      </c>
      <c r="F2" s="13">
        <f>E2/60</f>
        <v>132500</v>
      </c>
      <c r="G2" s="14"/>
    </row>
  </sheetData>
  <mergeCells count="2">
    <mergeCell ref="G1:H1"/>
    <mergeCell ref="I1:J1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K1"/>
  <sheetViews>
    <sheetView workbookViewId="0">
      <selection sqref="A1:K1"/>
    </sheetView>
  </sheetViews>
  <sheetFormatPr defaultRowHeight="17"/>
  <sheetData>
    <row r="1" spans="1:11" ht="62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</sheetData>
  <mergeCells count="2">
    <mergeCell ref="G1:H1"/>
    <mergeCell ref="I1:J1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K3"/>
  <sheetViews>
    <sheetView workbookViewId="0">
      <selection activeCell="A2" sqref="A2:F3"/>
    </sheetView>
  </sheetViews>
  <sheetFormatPr defaultRowHeight="17"/>
  <cols>
    <col min="3" max="3" width="20.26953125" bestFit="1" customWidth="1"/>
  </cols>
  <sheetData>
    <row r="1" spans="1:11" ht="62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  <row r="2" spans="1:11">
      <c r="A2" s="295" t="s">
        <v>59</v>
      </c>
      <c r="B2" s="11"/>
      <c r="C2" s="23" t="s">
        <v>60</v>
      </c>
      <c r="D2" s="27">
        <v>1</v>
      </c>
      <c r="E2" s="24">
        <v>9665000</v>
      </c>
      <c r="F2" s="13">
        <f>E2/60</f>
        <v>161083.33333333334</v>
      </c>
    </row>
    <row r="3" spans="1:11">
      <c r="A3" s="297"/>
      <c r="B3" s="11"/>
      <c r="C3" s="10" t="s">
        <v>61</v>
      </c>
      <c r="D3" s="11"/>
      <c r="E3" s="12">
        <v>1160000</v>
      </c>
      <c r="F3" s="13">
        <v>24166</v>
      </c>
    </row>
  </sheetData>
  <mergeCells count="3">
    <mergeCell ref="G1:H1"/>
    <mergeCell ref="I1:J1"/>
    <mergeCell ref="A2:A3"/>
  </mergeCells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K2"/>
  <sheetViews>
    <sheetView workbookViewId="0">
      <selection activeCell="A2" sqref="A2:F2"/>
    </sheetView>
  </sheetViews>
  <sheetFormatPr defaultRowHeight="17"/>
  <sheetData>
    <row r="1" spans="1:11" ht="62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  <row r="2" spans="1:11">
      <c r="A2" s="28" t="s">
        <v>62</v>
      </c>
      <c r="B2" s="117"/>
      <c r="C2" s="23" t="s">
        <v>63</v>
      </c>
      <c r="D2" s="27">
        <v>2</v>
      </c>
      <c r="E2" s="24">
        <f>450000*2</f>
        <v>900000</v>
      </c>
      <c r="F2" s="13">
        <f>7500*2</f>
        <v>15000</v>
      </c>
    </row>
  </sheetData>
  <mergeCells count="2">
    <mergeCell ref="G1:H1"/>
    <mergeCell ref="I1:J1"/>
  </mergeCells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K2"/>
  <sheetViews>
    <sheetView workbookViewId="0">
      <selection activeCell="A2" sqref="A2:F2"/>
    </sheetView>
  </sheetViews>
  <sheetFormatPr defaultRowHeight="17"/>
  <sheetData>
    <row r="1" spans="1:11" ht="62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  <row r="2" spans="1:11">
      <c r="A2" s="28" t="s">
        <v>68</v>
      </c>
      <c r="B2" s="117"/>
      <c r="C2" s="29" t="s">
        <v>69</v>
      </c>
      <c r="D2" s="30">
        <v>1</v>
      </c>
      <c r="E2" s="25">
        <v>2700000</v>
      </c>
      <c r="F2" s="13">
        <f>E2/96</f>
        <v>28125</v>
      </c>
    </row>
  </sheetData>
  <mergeCells count="2">
    <mergeCell ref="G1:H1"/>
    <mergeCell ref="I1:J1"/>
  </mergeCells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K1"/>
  <sheetViews>
    <sheetView workbookViewId="0">
      <selection sqref="A1:K1"/>
    </sheetView>
  </sheetViews>
  <sheetFormatPr defaultRowHeight="17"/>
  <sheetData>
    <row r="1" spans="1:11" ht="62">
      <c r="A1" s="6" t="s">
        <v>16</v>
      </c>
      <c r="B1" s="118" t="s">
        <v>129</v>
      </c>
      <c r="C1" s="229" t="s">
        <v>17</v>
      </c>
      <c r="D1" s="8" t="s">
        <v>18</v>
      </c>
      <c r="E1" s="229" t="s">
        <v>19</v>
      </c>
      <c r="F1" s="229" t="s">
        <v>20</v>
      </c>
      <c r="G1" s="299" t="s">
        <v>21</v>
      </c>
      <c r="H1" s="299"/>
      <c r="I1" s="299" t="s">
        <v>22</v>
      </c>
      <c r="J1" s="299"/>
      <c r="K1" s="9" t="s">
        <v>23</v>
      </c>
    </row>
  </sheetData>
  <mergeCells count="2">
    <mergeCell ref="G1:H1"/>
    <mergeCell ref="I1:J1"/>
  </mergeCells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K5"/>
  <sheetViews>
    <sheetView workbookViewId="0">
      <selection activeCell="D11" sqref="D11"/>
    </sheetView>
  </sheetViews>
  <sheetFormatPr defaultRowHeight="17"/>
  <cols>
    <col min="3" max="3" width="26" customWidth="1"/>
    <col min="4" max="4" width="17.81640625" customWidth="1"/>
    <col min="11" max="11" width="20.90625" customWidth="1"/>
  </cols>
  <sheetData>
    <row r="1" spans="1:11" ht="31">
      <c r="A1" s="248" t="s">
        <v>16</v>
      </c>
      <c r="B1" s="249" t="s">
        <v>129</v>
      </c>
      <c r="C1" s="248" t="s">
        <v>17</v>
      </c>
      <c r="D1" s="250" t="s">
        <v>18</v>
      </c>
      <c r="E1" s="248" t="s">
        <v>19</v>
      </c>
      <c r="F1" s="248" t="s">
        <v>20</v>
      </c>
      <c r="G1" s="324" t="s">
        <v>21</v>
      </c>
      <c r="H1" s="324"/>
      <c r="I1" s="324" t="s">
        <v>22</v>
      </c>
      <c r="J1" s="324"/>
      <c r="K1" s="250" t="s">
        <v>23</v>
      </c>
    </row>
    <row r="2" spans="1:11">
      <c r="A2" s="323" t="s">
        <v>64</v>
      </c>
      <c r="B2" s="11"/>
      <c r="C2" s="23" t="s">
        <v>65</v>
      </c>
      <c r="D2" s="27">
        <v>6</v>
      </c>
      <c r="E2" s="24">
        <v>8167655</v>
      </c>
      <c r="F2" s="13">
        <v>113031</v>
      </c>
      <c r="G2" s="1"/>
      <c r="H2" s="1"/>
      <c r="I2" s="1"/>
      <c r="J2" s="1"/>
      <c r="K2" s="1"/>
    </row>
    <row r="3" spans="1:11">
      <c r="A3" s="323"/>
      <c r="B3" s="11"/>
      <c r="C3" s="23" t="s">
        <v>66</v>
      </c>
      <c r="D3" s="27"/>
      <c r="E3" s="24">
        <v>500000</v>
      </c>
      <c r="F3" s="13">
        <f>E3/60</f>
        <v>8333.3333333333339</v>
      </c>
      <c r="G3" s="1"/>
      <c r="H3" s="1"/>
      <c r="I3" s="1"/>
      <c r="J3" s="1"/>
      <c r="K3" s="1"/>
    </row>
    <row r="4" spans="1:11">
      <c r="A4" s="323"/>
      <c r="B4" s="11"/>
      <c r="C4" s="23" t="s">
        <v>67</v>
      </c>
      <c r="D4" s="27"/>
      <c r="E4" s="12">
        <v>600000</v>
      </c>
      <c r="F4" s="13">
        <v>8750</v>
      </c>
      <c r="G4" s="1"/>
      <c r="H4" s="1"/>
      <c r="I4" s="1"/>
      <c r="J4" s="1"/>
      <c r="K4" s="1"/>
    </row>
    <row r="5" spans="1:11">
      <c r="A5" s="117" t="s">
        <v>70</v>
      </c>
      <c r="B5" s="117"/>
      <c r="C5" s="29" t="s">
        <v>71</v>
      </c>
      <c r="D5" s="30"/>
      <c r="E5" s="13">
        <v>64500</v>
      </c>
      <c r="F5" s="13">
        <v>0</v>
      </c>
      <c r="G5" s="1"/>
      <c r="H5" s="1"/>
      <c r="I5" s="1"/>
      <c r="J5" s="1"/>
      <c r="K5" s="1"/>
    </row>
  </sheetData>
  <mergeCells count="3">
    <mergeCell ref="A2:A4"/>
    <mergeCell ref="G1:H1"/>
    <mergeCell ref="I1:J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MCI Machine List</vt:lpstr>
      <vt:lpstr>EMC Design Data Base</vt:lpstr>
      <vt:lpstr>Material Price &amp; Design Data</vt:lpstr>
      <vt:lpstr>Yield</vt:lpstr>
      <vt:lpstr>EFF'CY</vt:lpstr>
      <vt:lpstr>MC Speed</vt:lpstr>
      <vt:lpstr>MM Ratio</vt:lpstr>
      <vt:lpstr>Material Consum</vt:lpstr>
      <vt:lpstr>MRF</vt:lpstr>
      <vt:lpstr>TD</vt:lpstr>
      <vt:lpstr>TC</vt:lpstr>
      <vt:lpstr>製帶</vt:lpstr>
      <vt:lpstr>打孔</vt:lpstr>
      <vt:lpstr>印刷</vt:lpstr>
      <vt:lpstr>疊壓</vt:lpstr>
      <vt:lpstr>水壓</vt:lpstr>
      <vt:lpstr>切割</vt:lpstr>
      <vt:lpstr>預熱</vt:lpstr>
      <vt:lpstr>燒結</vt:lpstr>
      <vt:lpstr>研磨</vt:lpstr>
      <vt:lpstr>塗銀</vt:lpstr>
      <vt:lpstr>燒銀</vt:lpstr>
      <vt:lpstr>電鍍</vt:lpstr>
      <vt:lpstr>選別</vt:lpstr>
      <vt:lpstr>外觀</vt:lpstr>
      <vt:lpstr>矽油</vt:lpstr>
      <vt:lpstr>包裝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2021-03-02T10:41:14Z</dcterms:modified>
</cp:coreProperties>
</file>